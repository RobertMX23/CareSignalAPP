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e" sheetId="1" r:id="rId5"/>
  </sheets>
  <definedNames>
    <definedName hidden="1" localSheetId="0" name="_xlnm._FilterDatabase">Active!$A$6:$P$1000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tc={780e7d9c-b9a0-4d40-b18e-eb7c4e601f2d}</author>
    <author>tc={faf072f2-d651-488c-9e2d-60035aaa6ed7}</author>
  </authors>
  <commentList>
    <comment authorId="0" xr:uid="{780e7d9c-b9a0-4d40-b18e-eb7c4e601f2d}" ref="A3">
      <text>
        <t xml:space="preserve">[Threaded comment]
 Your version of Excel allows you to read this threaded comment; however, any edits to it will get removed if the file is opened in a newer version of Excel. Learn more: https://go.microsoft.com/fwlink/?linkid=870924
Comment:
	Test
</t>
      </text>
    </comment>
    <comment authorId="1" xr:uid="{faf072f2-d651-488c-9e2d-60035aaa6ed7}" ref="L10">
      <text>
        <t xml:space="preserve">[Threaded comment]
 Your version of Excel allows you to read this threaded comment; however, any edits to it will get removed if the file is opened in a newer version of Excel. Learn more: https://go.microsoft.com/fwlink/?linkid=870924
Comment:
	Mat/Alex hablé con ellos se enfocan principalmente en pre serie A y serie A y sus tickets rondan de 1M a 2M
Reply:
	Gracias @daniel@don-app.com.mx
</t>
      </text>
    </comment>
  </commentList>
</comments>
</file>

<file path=xl/sharedStrings.xml><?xml version="1.0" encoding="utf-8"?>
<sst xmlns="http://schemas.openxmlformats.org/spreadsheetml/2006/main"/>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
    <font>
      <sz val="10.0"/>
      <color rgb="FF000000"/>
      <name val="Arial"/>
      <scheme val="minor"/>
    </font>
    <font>
      <color theme="1"/>
      <name val="Arial"/>
      <scheme val="minor"/>
    </font>
    <font>
      <b/>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4" xfId="0" applyFont="1" applyNumberFormat="1"/>
    <xf borderId="0" fillId="0" fontId="1" numFmtId="0" xfId="0" applyAlignment="1" applyFont="1">
      <alignment shrinkToFit="0" wrapText="0"/>
    </xf>
    <xf borderId="0" fillId="0" fontId="2" numFmtId="0" xfId="0" applyFont="1"/>
    <xf borderId="0" fillId="0" fontId="2" numFmtId="164" xfId="0" applyFont="1" applyNumberFormat="1"/>
    <xf borderId="0" fillId="0" fontId="3" numFmtId="0" xfId="0" applyFont="1"/>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onymous" id="{d4f44245-c503-4890-bb38-845bb3fa4df1}" providerId="google-sheets"/>
  <x18tc:person displayName="Mat Gantar" id="{2e4636bd-3943-4696-8d68-3ef1b604cc37}" providerId="google-sheets"/>
  <x18tc:person displayName="Daniel Eugenio García Rodríguez" id="{1ef85052-8742-4d96-833f-858fffdb2896}" providerId="google-sheets"/>
  <x18tc:person displayName="daniel@don-app.com.mx" id="{31afd12a-f141-4e21-a9c1-db456c35d29b}" userId="daniel@don-app.com.mx"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0" dT="2023-01-19T22:15:50.00" personId="{1ef85052-8742-4d96-833f-858fffdb2896}" id="{faf072f2-d651-488c-9e2d-60035aaa6ed7}" done="1">
    <x18tc:text xml:space="preserve">Mat/Alex hablé con ellos se enfocan principalmente en pre serie A y serie A y sus tickets rondan de 1M a 2M</x18tc:text>
  </x18tc:threadedComment>
  <x18tc:threadedComment ref="L10" dT="2023-01-19T22:30:36.00" personId="{2e4636bd-3943-4696-8d68-3ef1b604cc37}" id="{214531da-a2b5-4b83-8eb3-2d72d090688b}" parentId="{faf072f2-d651-488c-9e2d-60035aaa6ed7}">
    <x18tc:text xml:space="preserve">Gracias @daniel@don-app.com.mx</x18tc:text>
    <x18tc:mentions>
      <x18tc:mention mentionpersonId="{31afd12a-f141-4e21-a9c1-db456c35d29b}" mentionId="{bbde1f43-08f0-4ac8-af26-491a50839e0f}" startIndex="8" length="22"/>
    </x18tc:mentions>
  </x18tc:threadedComment>
  <x18tc:threadedComment ref="A3" dT="2020-02-07T16:35:19.00" personId="{d4f44245-c503-4890-bb38-845bb3fa4df1}" id="{780e7d9c-b9a0-4d40-b18e-eb7c4e601f2d}" done="1">
    <x18tc:text xml:space="preserve">Test</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www.ampersand.black/" TargetMode="External"/><Relationship Id="rId190" Type="http://schemas.openxmlformats.org/officeDocument/2006/relationships/hyperlink" Target="http://www.ingenio.org.uy/" TargetMode="External"/><Relationship Id="rId42" Type="http://schemas.openxmlformats.org/officeDocument/2006/relationships/hyperlink" Target="https://a16z.com/" TargetMode="External"/><Relationship Id="rId41" Type="http://schemas.openxmlformats.org/officeDocument/2006/relationships/hyperlink" Target="https://www.linkedin.com/company/amploinvest/" TargetMode="External"/><Relationship Id="rId44" Type="http://schemas.openxmlformats.org/officeDocument/2006/relationships/hyperlink" Target="http://angelventures.vc/" TargetMode="External"/><Relationship Id="rId194" Type="http://schemas.openxmlformats.org/officeDocument/2006/relationships/hyperlink" Target="http://invariantes.com/" TargetMode="External"/><Relationship Id="rId43" Type="http://schemas.openxmlformats.org/officeDocument/2006/relationships/hyperlink" Target="https://www.angelhub.mx/" TargetMode="External"/><Relationship Id="rId193" Type="http://schemas.openxmlformats.org/officeDocument/2006/relationships/hyperlink" Target="http://inqlab.co/" TargetMode="External"/><Relationship Id="rId46" Type="http://schemas.openxmlformats.org/officeDocument/2006/relationships/hyperlink" Target="https://www.amplifica.capital/" TargetMode="External"/><Relationship Id="rId192" Type="http://schemas.openxmlformats.org/officeDocument/2006/relationships/hyperlink" Target="http://www.innovateurcapital.com.mx/index.php/es/" TargetMode="External"/><Relationship Id="rId45" Type="http://schemas.openxmlformats.org/officeDocument/2006/relationships/hyperlink" Target="http://www.duxcapital.vc/" TargetMode="External"/><Relationship Id="rId191" Type="http://schemas.openxmlformats.org/officeDocument/2006/relationships/hyperlink" Target="https://innogenholdings.com/" TargetMode="External"/><Relationship Id="rId48" Type="http://schemas.openxmlformats.org/officeDocument/2006/relationships/hyperlink" Target="https://angelsnest.lat/" TargetMode="External"/><Relationship Id="rId187" Type="http://schemas.openxmlformats.org/officeDocument/2006/relationships/hyperlink" Target="https://www.incutex.com.ar/" TargetMode="External"/><Relationship Id="rId47" Type="http://schemas.openxmlformats.org/officeDocument/2006/relationships/hyperlink" Target="https://ewa.capital/" TargetMode="External"/><Relationship Id="rId186" Type="http://schemas.openxmlformats.org/officeDocument/2006/relationships/hyperlink" Target="https://www.incubatec.cl/" TargetMode="External"/><Relationship Id="rId185" Type="http://schemas.openxmlformats.org/officeDocument/2006/relationships/hyperlink" Target="https://sinergia.uy/incubadora/" TargetMode="External"/><Relationship Id="rId49" Type="http://schemas.openxmlformats.org/officeDocument/2006/relationships/hyperlink" Target="https://animo.vc/" TargetMode="External"/><Relationship Id="rId184" Type="http://schemas.openxmlformats.org/officeDocument/2006/relationships/hyperlink" Target="https://www.impacta.vc/" TargetMode="External"/><Relationship Id="rId189" Type="http://schemas.openxmlformats.org/officeDocument/2006/relationships/hyperlink" Target="http://www.capitalindigo.com/" TargetMode="External"/><Relationship Id="rId188" Type="http://schemas.openxmlformats.org/officeDocument/2006/relationships/hyperlink" Target="https://indicatorcapital.com/" TargetMode="External"/><Relationship Id="rId31" Type="http://schemas.openxmlformats.org/officeDocument/2006/relationships/hyperlink" Target="https://alpha4venturesinternational.com/" TargetMode="External"/><Relationship Id="rId30" Type="http://schemas.openxmlformats.org/officeDocument/2006/relationships/hyperlink" Target="https://www.alphaimpact8.com/" TargetMode="External"/><Relationship Id="rId33" Type="http://schemas.openxmlformats.org/officeDocument/2006/relationships/hyperlink" Target="https://altaglobal.com/" TargetMode="External"/><Relationship Id="rId183" Type="http://schemas.openxmlformats.org/officeDocument/2006/relationships/hyperlink" Target="http://imaginelab.cl/" TargetMode="External"/><Relationship Id="rId32" Type="http://schemas.openxmlformats.org/officeDocument/2006/relationships/hyperlink" Target="http://www.alt-ventures.com/" TargetMode="External"/><Relationship Id="rId182" Type="http://schemas.openxmlformats.org/officeDocument/2006/relationships/hyperlink" Target="http://www.ignixion.mx/" TargetMode="External"/><Relationship Id="rId35" Type="http://schemas.openxmlformats.org/officeDocument/2006/relationships/hyperlink" Target="https://altaventures.com/" TargetMode="External"/><Relationship Id="rId181" Type="http://schemas.openxmlformats.org/officeDocument/2006/relationships/hyperlink" Target="http://www.ignia.mx/" TargetMode="External"/><Relationship Id="rId34" Type="http://schemas.openxmlformats.org/officeDocument/2006/relationships/hyperlink" Target="http://agcmexico.com/" TargetMode="External"/><Relationship Id="rId180" Type="http://schemas.openxmlformats.org/officeDocument/2006/relationships/hyperlink" Target="https://www.ifc.org/" TargetMode="External"/><Relationship Id="rId37" Type="http://schemas.openxmlformats.org/officeDocument/2006/relationships/hyperlink" Target="https://www.venturecapital.game/" TargetMode="External"/><Relationship Id="rId176" Type="http://schemas.openxmlformats.org/officeDocument/2006/relationships/hyperlink" Target="https://hubbog.com/" TargetMode="External"/><Relationship Id="rId297" Type="http://schemas.openxmlformats.org/officeDocument/2006/relationships/hyperlink" Target="https://socialatomgroup.com/" TargetMode="External"/><Relationship Id="rId36" Type="http://schemas.openxmlformats.org/officeDocument/2006/relationships/hyperlink" Target="https://www.daluscapital.com/" TargetMode="External"/><Relationship Id="rId175" Type="http://schemas.openxmlformats.org/officeDocument/2006/relationships/hyperlink" Target="http://homebrew.co/" TargetMode="External"/><Relationship Id="rId296" Type="http://schemas.openxmlformats.org/officeDocument/2006/relationships/hyperlink" Target="https://www.smartimpact.org/" TargetMode="External"/><Relationship Id="rId39" Type="http://schemas.openxmlformats.org/officeDocument/2006/relationships/hyperlink" Target="https://www.amadeuscapital.com/" TargetMode="External"/><Relationship Id="rId174" Type="http://schemas.openxmlformats.org/officeDocument/2006/relationships/hyperlink" Target="http://www.hofburgcapital.com/" TargetMode="External"/><Relationship Id="rId295" Type="http://schemas.openxmlformats.org/officeDocument/2006/relationships/hyperlink" Target="http://linkedin.com/company/sipi-fund/" TargetMode="External"/><Relationship Id="rId38" Type="http://schemas.openxmlformats.org/officeDocument/2006/relationships/hyperlink" Target="https://www.altment.com/" TargetMode="External"/><Relationship Id="rId173" Type="http://schemas.openxmlformats.org/officeDocument/2006/relationships/hyperlink" Target="http://healthinnovahub.com" TargetMode="External"/><Relationship Id="rId294" Type="http://schemas.openxmlformats.org/officeDocument/2006/relationships/hyperlink" Target="https://www.simmacapital.com/" TargetMode="External"/><Relationship Id="rId179" Type="http://schemas.openxmlformats.org/officeDocument/2006/relationships/hyperlink" Target="http://www.ideasycapital.com/" TargetMode="External"/><Relationship Id="rId178" Type="http://schemas.openxmlformats.org/officeDocument/2006/relationships/hyperlink" Target="http://ideasfactory.la/" TargetMode="External"/><Relationship Id="rId299" Type="http://schemas.openxmlformats.org/officeDocument/2006/relationships/hyperlink" Target="http://www.softbank.co.jp/en/index.html" TargetMode="External"/><Relationship Id="rId177" Type="http://schemas.openxmlformats.org/officeDocument/2006/relationships/hyperlink" Target="https://www.id345.tech/" TargetMode="External"/><Relationship Id="rId298" Type="http://schemas.openxmlformats.org/officeDocument/2006/relationships/hyperlink" Target="https://www.socialab.com/" TargetMode="External"/><Relationship Id="rId20" Type="http://schemas.openxmlformats.org/officeDocument/2006/relationships/hyperlink" Target="https://www.30n.vc/" TargetMode="External"/><Relationship Id="rId22" Type="http://schemas.openxmlformats.org/officeDocument/2006/relationships/hyperlink" Target="https://www.alacritymexico.com/" TargetMode="External"/><Relationship Id="rId21" Type="http://schemas.openxmlformats.org/officeDocument/2006/relationships/hyperlink" Target="http://www.agavelab.com/" TargetMode="External"/><Relationship Id="rId24" Type="http://schemas.openxmlformats.org/officeDocument/2006/relationships/hyperlink" Target="https://www.linkedin.com/company/alexia-vc/" TargetMode="External"/><Relationship Id="rId23" Type="http://schemas.openxmlformats.org/officeDocument/2006/relationships/hyperlink" Target="https://alaya-capital.com/" TargetMode="External"/><Relationship Id="rId26" Type="http://schemas.openxmlformats.org/officeDocument/2006/relationships/hyperlink" Target="https://www.hi.vc/" TargetMode="External"/><Relationship Id="rId25" Type="http://schemas.openxmlformats.org/officeDocument/2006/relationships/hyperlink" Target="https://www.hi.vc/" TargetMode="External"/><Relationship Id="rId28" Type="http://schemas.openxmlformats.org/officeDocument/2006/relationships/hyperlink" Target="https://www.blackfin.com/" TargetMode="External"/><Relationship Id="rId27" Type="http://schemas.openxmlformats.org/officeDocument/2006/relationships/hyperlink" Target="https://rumbo.ventures/es/homepage-espanol/" TargetMode="External"/><Relationship Id="rId29" Type="http://schemas.openxmlformats.org/officeDocument/2006/relationships/hyperlink" Target="https://www.attomcapital.com/" TargetMode="External"/><Relationship Id="rId11" Type="http://schemas.openxmlformats.org/officeDocument/2006/relationships/hyperlink" Target="https://www.resilience.vc/" TargetMode="External"/><Relationship Id="rId10" Type="http://schemas.openxmlformats.org/officeDocument/2006/relationships/hyperlink" Target="https://bancofcal.com/venture-banking/" TargetMode="External"/><Relationship Id="rId13" Type="http://schemas.openxmlformats.org/officeDocument/2006/relationships/hyperlink" Target="https://www.linkedin.com/company/acelera-mgti/" TargetMode="External"/><Relationship Id="rId12" Type="http://schemas.openxmlformats.org/officeDocument/2006/relationships/hyperlink" Target="https://aceventures.com.br/" TargetMode="External"/><Relationship Id="rId15" Type="http://schemas.openxmlformats.org/officeDocument/2006/relationships/hyperlink" Target="https://synthase.ventures/" TargetMode="External"/><Relationship Id="rId198" Type="http://schemas.openxmlformats.org/officeDocument/2006/relationships/hyperlink" Target="https://www.investovc.com/" TargetMode="External"/><Relationship Id="rId14" Type="http://schemas.openxmlformats.org/officeDocument/2006/relationships/hyperlink" Target="http://acelerapartners.com/" TargetMode="External"/><Relationship Id="rId197" Type="http://schemas.openxmlformats.org/officeDocument/2006/relationships/hyperlink" Target="http://www.inversor.org.co/" TargetMode="External"/><Relationship Id="rId17" Type="http://schemas.openxmlformats.org/officeDocument/2006/relationships/hyperlink" Target="https://aconinvestments.com/" TargetMode="External"/><Relationship Id="rId196" Type="http://schemas.openxmlformats.org/officeDocument/2006/relationships/hyperlink" Target="http://invermaster.com/" TargetMode="External"/><Relationship Id="rId16" Type="http://schemas.openxmlformats.org/officeDocument/2006/relationships/hyperlink" Target="https://imagineventures.tech/" TargetMode="External"/><Relationship Id="rId195" Type="http://schemas.openxmlformats.org/officeDocument/2006/relationships/hyperlink" Target="https://www.invermaster.com/" TargetMode="External"/><Relationship Id="rId19" Type="http://schemas.openxmlformats.org/officeDocument/2006/relationships/hyperlink" Target="https://deetkenimpact.com/" TargetMode="External"/><Relationship Id="rId18" Type="http://schemas.openxmlformats.org/officeDocument/2006/relationships/hyperlink" Target="https://www.addem-capital.com/" TargetMode="External"/><Relationship Id="rId199" Type="http://schemas.openxmlformats.org/officeDocument/2006/relationships/hyperlink" Target="https://www.ipo.ventures/" TargetMode="External"/><Relationship Id="rId84" Type="http://schemas.openxmlformats.org/officeDocument/2006/relationships/hyperlink" Target="https://www.ris3labs.xyz/" TargetMode="External"/><Relationship Id="rId83" Type="http://schemas.openxmlformats.org/officeDocument/2006/relationships/hyperlink" Target="https://breakoff.com/" TargetMode="External"/><Relationship Id="rId86" Type="http://schemas.openxmlformats.org/officeDocument/2006/relationships/hyperlink" Target="https://www.99startups.mx/" TargetMode="External"/><Relationship Id="rId85" Type="http://schemas.openxmlformats.org/officeDocument/2006/relationships/hyperlink" Target="https://www.kolabventures.com/about" TargetMode="External"/><Relationship Id="rId88" Type="http://schemas.openxmlformats.org/officeDocument/2006/relationships/hyperlink" Target="https://www.boxgroup.com/" TargetMode="External"/><Relationship Id="rId150" Type="http://schemas.openxmlformats.org/officeDocument/2006/relationships/hyperlink" Target="http://www.fourthgreen.com/" TargetMode="External"/><Relationship Id="rId271" Type="http://schemas.openxmlformats.org/officeDocument/2006/relationships/hyperlink" Target="http://www.principal.com" TargetMode="External"/><Relationship Id="rId87" Type="http://schemas.openxmlformats.org/officeDocument/2006/relationships/hyperlink" Target="https://www.amgblock.com/" TargetMode="External"/><Relationship Id="rId270" Type="http://schemas.openxmlformats.org/officeDocument/2006/relationships/hyperlink" Target="https://polymathv.com/" TargetMode="External"/><Relationship Id="rId89" Type="http://schemas.openxmlformats.org/officeDocument/2006/relationships/hyperlink" Target="https://brazilventurecapital.net/" TargetMode="External"/><Relationship Id="rId80" Type="http://schemas.openxmlformats.org/officeDocument/2006/relationships/hyperlink" Target="https://www.bombacamp.com/" TargetMode="External"/><Relationship Id="rId82" Type="http://schemas.openxmlformats.org/officeDocument/2006/relationships/hyperlink" Target="https://www.bre.capital/" TargetMode="External"/><Relationship Id="rId81" Type="http://schemas.openxmlformats.org/officeDocument/2006/relationships/hyperlink" Target="https://brainstorm.vc/"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fi.co/" TargetMode="External"/><Relationship Id="rId4" Type="http://schemas.openxmlformats.org/officeDocument/2006/relationships/hyperlink" Target="https://www.0bs.mx/" TargetMode="External"/><Relationship Id="rId148" Type="http://schemas.openxmlformats.org/officeDocument/2006/relationships/hyperlink" Target="http://www.fondodefondos.com.mx/" TargetMode="External"/><Relationship Id="rId269" Type="http://schemas.openxmlformats.org/officeDocument/2006/relationships/hyperlink" Target="https://p72.vc/" TargetMode="External"/><Relationship Id="rId9" Type="http://schemas.openxmlformats.org/officeDocument/2006/relationships/hyperlink" Target="https://www.accion.org/" TargetMode="External"/><Relationship Id="rId143" Type="http://schemas.openxmlformats.org/officeDocument/2006/relationships/hyperlink" Target="http://firstrock.vc/" TargetMode="External"/><Relationship Id="rId264" Type="http://schemas.openxmlformats.org/officeDocument/2006/relationships/hyperlink" Target="https://www.peopleventures.io/" TargetMode="External"/><Relationship Id="rId142" Type="http://schemas.openxmlformats.org/officeDocument/2006/relationships/hyperlink" Target="http://www.fabriq.com.br" TargetMode="External"/><Relationship Id="rId263" Type="http://schemas.openxmlformats.org/officeDocument/2006/relationships/hyperlink" Target="http://www.pedralbes-partners.com/" TargetMode="External"/><Relationship Id="rId141" Type="http://schemas.openxmlformats.org/officeDocument/2006/relationships/hyperlink" Target="https://fprimecapital.com/" TargetMode="External"/><Relationship Id="rId262" Type="http://schemas.openxmlformats.org/officeDocument/2006/relationships/hyperlink" Target="http://www.pc-capital.com" TargetMode="External"/><Relationship Id="rId140" Type="http://schemas.openxmlformats.org/officeDocument/2006/relationships/hyperlink" Target="http://envelp.com/" TargetMode="External"/><Relationship Id="rId261" Type="http://schemas.openxmlformats.org/officeDocument/2006/relationships/hyperlink" Target="https://parallel18.com/" TargetMode="External"/><Relationship Id="rId5" Type="http://schemas.openxmlformats.org/officeDocument/2006/relationships/hyperlink" Target="http://500mexicocity.com/" TargetMode="External"/><Relationship Id="rId147" Type="http://schemas.openxmlformats.org/officeDocument/2006/relationships/hyperlink" Target="https://endinv.com/" TargetMode="External"/><Relationship Id="rId268" Type="http://schemas.openxmlformats.org/officeDocument/2006/relationships/hyperlink" Target="https://www.pnp.mx/" TargetMode="External"/><Relationship Id="rId6" Type="http://schemas.openxmlformats.org/officeDocument/2006/relationships/hyperlink" Target="http://arcacontal.com/" TargetMode="External"/><Relationship Id="rId146" Type="http://schemas.openxmlformats.org/officeDocument/2006/relationships/hyperlink" Target="https://flycapital.mx/inicio/" TargetMode="External"/><Relationship Id="rId267" Type="http://schemas.openxmlformats.org/officeDocument/2006/relationships/hyperlink" Target="https://www.plugandplaytechcenter.com/" TargetMode="External"/><Relationship Id="rId7" Type="http://schemas.openxmlformats.org/officeDocument/2006/relationships/hyperlink" Target="https://www.accede.net/" TargetMode="External"/><Relationship Id="rId145" Type="http://schemas.openxmlformats.org/officeDocument/2006/relationships/hyperlink" Target="https://flourishventures.com/" TargetMode="External"/><Relationship Id="rId266" Type="http://schemas.openxmlformats.org/officeDocument/2006/relationships/hyperlink" Target="https://plein.udp.cl/" TargetMode="External"/><Relationship Id="rId8" Type="http://schemas.openxmlformats.org/officeDocument/2006/relationships/hyperlink" Target="https://www.accel.com/" TargetMode="External"/><Relationship Id="rId144" Type="http://schemas.openxmlformats.org/officeDocument/2006/relationships/hyperlink" Target="https://fjlabs.com/" TargetMode="External"/><Relationship Id="rId265" Type="http://schemas.openxmlformats.org/officeDocument/2006/relationships/hyperlink" Target="https://www.picuscap.com/" TargetMode="External"/><Relationship Id="rId73" Type="http://schemas.openxmlformats.org/officeDocument/2006/relationships/hyperlink" Target="https://nxvcp.com/" TargetMode="External"/><Relationship Id="rId72" Type="http://schemas.openxmlformats.org/officeDocument/2006/relationships/hyperlink" Target="http://bidg.mx/" TargetMode="External"/><Relationship Id="rId75" Type="http://schemas.openxmlformats.org/officeDocument/2006/relationships/hyperlink" Target="https://www.blueboxmx.com/" TargetMode="External"/><Relationship Id="rId74" Type="http://schemas.openxmlformats.org/officeDocument/2006/relationships/hyperlink" Target="http://bizcool.com.br/" TargetMode="External"/><Relationship Id="rId77" Type="http://schemas.openxmlformats.org/officeDocument/2006/relationships/hyperlink" Target="https://boostcp.vc/" TargetMode="External"/><Relationship Id="rId260" Type="http://schemas.openxmlformats.org/officeDocument/2006/relationships/hyperlink" Target="http://www.oxyaceleradora.com.br/" TargetMode="External"/><Relationship Id="rId76" Type="http://schemas.openxmlformats.org/officeDocument/2006/relationships/hyperlink" Target="https://blackburnmx.com//" TargetMode="External"/><Relationship Id="rId79" Type="http://schemas.openxmlformats.org/officeDocument/2006/relationships/hyperlink" Target="https://ascendiscapital.com/" TargetMode="External"/><Relationship Id="rId78" Type="http://schemas.openxmlformats.org/officeDocument/2006/relationships/hyperlink" Target="https://www.viewcapital.vc/" TargetMode="External"/><Relationship Id="rId71" Type="http://schemas.openxmlformats.org/officeDocument/2006/relationships/hyperlink" Target="http://berriniventures.com/" TargetMode="External"/><Relationship Id="rId70" Type="http://schemas.openxmlformats.org/officeDocument/2006/relationships/hyperlink" Target="http://www.beamonte.com" TargetMode="External"/><Relationship Id="rId139" Type="http://schemas.openxmlformats.org/officeDocument/2006/relationships/hyperlink" Target="https://www.enture.vc/fondo-de-capital/" TargetMode="External"/><Relationship Id="rId138" Type="http://schemas.openxmlformats.org/officeDocument/2006/relationships/hyperlink" Target="http://engiefactory.com/" TargetMode="External"/><Relationship Id="rId259" Type="http://schemas.openxmlformats.org/officeDocument/2006/relationships/hyperlink" Target="https://obr.global/" TargetMode="External"/><Relationship Id="rId137" Type="http://schemas.openxmlformats.org/officeDocument/2006/relationships/hyperlink" Target="https://enermetrica.com/" TargetMode="External"/><Relationship Id="rId258" Type="http://schemas.openxmlformats.org/officeDocument/2006/relationships/hyperlink" Target="https://outboundventures.com/" TargetMode="External"/><Relationship Id="rId132" Type="http://schemas.openxmlformats.org/officeDocument/2006/relationships/hyperlink" Target="https://www.emexaceleradora.com/" TargetMode="External"/><Relationship Id="rId253" Type="http://schemas.openxmlformats.org/officeDocument/2006/relationships/hyperlink" Target="https://www.linkedin.com/company/omidyar-network/" TargetMode="External"/><Relationship Id="rId131" Type="http://schemas.openxmlformats.org/officeDocument/2006/relationships/hyperlink" Target="http://www.elevarequity.com" TargetMode="External"/><Relationship Id="rId252" Type="http://schemas.openxmlformats.org/officeDocument/2006/relationships/hyperlink" Target="http://oikos.vc/" TargetMode="External"/><Relationship Id="rId130" Type="http://schemas.openxmlformats.org/officeDocument/2006/relationships/hyperlink" Target="http://www.ebricksventures.com/" TargetMode="External"/><Relationship Id="rId251" Type="http://schemas.openxmlformats.org/officeDocument/2006/relationships/hyperlink" Target="https://www.oikocredit.coop/en/" TargetMode="External"/><Relationship Id="rId250" Type="http://schemas.openxmlformats.org/officeDocument/2006/relationships/hyperlink" Target="https://www.nxtplabs.com/" TargetMode="External"/><Relationship Id="rId136" Type="http://schemas.openxmlformats.org/officeDocument/2006/relationships/hyperlink" Target="https://www.endeavor.org.mx/" TargetMode="External"/><Relationship Id="rId257" Type="http://schemas.openxmlformats.org/officeDocument/2006/relationships/hyperlink" Target="https://www.ottoholdings.com/" TargetMode="External"/><Relationship Id="rId135" Type="http://schemas.openxmlformats.org/officeDocument/2006/relationships/hyperlink" Target="https://endeavor.org/approach/catalyst/" TargetMode="External"/><Relationship Id="rId256" Type="http://schemas.openxmlformats.org/officeDocument/2006/relationships/hyperlink" Target="https://orionstartups.com/" TargetMode="External"/><Relationship Id="rId134" Type="http://schemas.openxmlformats.org/officeDocument/2006/relationships/hyperlink" Target="https://endeavor.org" TargetMode="External"/><Relationship Id="rId255" Type="http://schemas.openxmlformats.org/officeDocument/2006/relationships/hyperlink" Target="https://www.onevc.vc/" TargetMode="External"/><Relationship Id="rId133" Type="http://schemas.openxmlformats.org/officeDocument/2006/relationships/hyperlink" Target="https://fch.cl/" TargetMode="External"/><Relationship Id="rId254" Type="http://schemas.openxmlformats.org/officeDocument/2006/relationships/hyperlink" Target="http://www.onventures.mx/" TargetMode="External"/><Relationship Id="rId62" Type="http://schemas.openxmlformats.org/officeDocument/2006/relationships/hyperlink" Target="https://www.towapartners.com/" TargetMode="External"/><Relationship Id="rId61" Type="http://schemas.openxmlformats.org/officeDocument/2006/relationships/hyperlink" Target="https://www.atariaventures.com/" TargetMode="External"/><Relationship Id="rId64" Type="http://schemas.openxmlformats.org/officeDocument/2006/relationships/hyperlink" Target="https://www.aurus.cl/" TargetMode="External"/><Relationship Id="rId63" Type="http://schemas.openxmlformats.org/officeDocument/2006/relationships/hyperlink" Target="https://www.cococo.ventures/" TargetMode="External"/><Relationship Id="rId66" Type="http://schemas.openxmlformats.org/officeDocument/2006/relationships/hyperlink" Target="https://www.axonpartnersgroup.com/" TargetMode="External"/><Relationship Id="rId172" Type="http://schemas.openxmlformats.org/officeDocument/2006/relationships/hyperlink" Target="https://hardyaka.com/" TargetMode="External"/><Relationship Id="rId293" Type="http://schemas.openxmlformats.org/officeDocument/2006/relationships/hyperlink" Target="http://www.siembracapitales.com" TargetMode="External"/><Relationship Id="rId65" Type="http://schemas.openxmlformats.org/officeDocument/2006/relationships/hyperlink" Target="http://avalancha.ventures/" TargetMode="External"/><Relationship Id="rId171" Type="http://schemas.openxmlformats.org/officeDocument/2006/relationships/hyperlink" Target="https://www.harbourvest.com/" TargetMode="External"/><Relationship Id="rId292" Type="http://schemas.openxmlformats.org/officeDocument/2006/relationships/hyperlink" Target="https://seayaventures.com/" TargetMode="External"/><Relationship Id="rId68" Type="http://schemas.openxmlformats.org/officeDocument/2006/relationships/hyperlink" Target="https://base10.vc/" TargetMode="External"/><Relationship Id="rId170" Type="http://schemas.openxmlformats.org/officeDocument/2006/relationships/hyperlink" Target="http://www.gv.com" TargetMode="External"/><Relationship Id="rId291" Type="http://schemas.openxmlformats.org/officeDocument/2006/relationships/hyperlink" Target="https://www.rosental.com/" TargetMode="External"/><Relationship Id="rId67" Type="http://schemas.openxmlformats.org/officeDocument/2006/relationships/hyperlink" Target="https://balero.us/" TargetMode="External"/><Relationship Id="rId290" Type="http://schemas.openxmlformats.org/officeDocument/2006/relationships/hyperlink" Target="https://www.linkedin.com/company/rodina/about/" TargetMode="External"/><Relationship Id="rId60" Type="http://schemas.openxmlformats.org/officeDocument/2006/relationships/hyperlink" Target="https://astellainvest.com/" TargetMode="External"/><Relationship Id="rId165" Type="http://schemas.openxmlformats.org/officeDocument/2006/relationships/hyperlink" Target="https://www.gkventures.com/" TargetMode="External"/><Relationship Id="rId286" Type="http://schemas.openxmlformats.org/officeDocument/2006/relationships/hyperlink" Target="http://www.risecapital.com" TargetMode="External"/><Relationship Id="rId69" Type="http://schemas.openxmlformats.org/officeDocument/2006/relationships/hyperlink" Target="https://www.linkedin.com/company/bassin-ventures/" TargetMode="External"/><Relationship Id="rId164" Type="http://schemas.openxmlformats.org/officeDocument/2006/relationships/hyperlink" Target="http://www.goldmansachs.com/" TargetMode="External"/><Relationship Id="rId285" Type="http://schemas.openxmlformats.org/officeDocument/2006/relationships/hyperlink" Target="https://www.linkedin.com/company/ribbit-capital/" TargetMode="External"/><Relationship Id="rId163" Type="http://schemas.openxmlformats.org/officeDocument/2006/relationships/hyperlink" Target="https://www.globantventures.com/" TargetMode="External"/><Relationship Id="rId284" Type="http://schemas.openxmlformats.org/officeDocument/2006/relationships/hyperlink" Target="https://rhombuz.co/" TargetMode="External"/><Relationship Id="rId162" Type="http://schemas.openxmlformats.org/officeDocument/2006/relationships/hyperlink" Target="http://www.globalproteus.com/" TargetMode="External"/><Relationship Id="rId283" Type="http://schemas.openxmlformats.org/officeDocument/2006/relationships/hyperlink" Target="https://reshape.co/" TargetMode="External"/><Relationship Id="rId169" Type="http://schemas.openxmlformats.org/officeDocument/2006/relationships/hyperlink" Target="https://www.davivienda.com/" TargetMode="External"/><Relationship Id="rId168" Type="http://schemas.openxmlformats.org/officeDocument/2006/relationships/hyperlink" Target="https://grupobimbo.com/es/bimbo-ventures" TargetMode="External"/><Relationship Id="rId289" Type="http://schemas.openxmlformats.org/officeDocument/2006/relationships/hyperlink" Target="https://www.rockstart.com/emerging-tech/web-mobile-colombia/" TargetMode="External"/><Relationship Id="rId167" Type="http://schemas.openxmlformats.org/officeDocument/2006/relationships/hyperlink" Target="http://www.graymatterscap.com/" TargetMode="External"/><Relationship Id="rId288" Type="http://schemas.openxmlformats.org/officeDocument/2006/relationships/hyperlink" Target="https://rocka.co/" TargetMode="External"/><Relationship Id="rId166" Type="http://schemas.openxmlformats.org/officeDocument/2006/relationships/hyperlink" Target="https://developers.google.com/community/accelerators" TargetMode="External"/><Relationship Id="rId287" Type="http://schemas.openxmlformats.org/officeDocument/2006/relationships/hyperlink" Target="https://www.riverwoodcapital.com/" TargetMode="External"/><Relationship Id="rId51" Type="http://schemas.openxmlformats.org/officeDocument/2006/relationships/hyperlink" Target="https://altazcapital.com/" TargetMode="External"/><Relationship Id="rId50" Type="http://schemas.openxmlformats.org/officeDocument/2006/relationships/hyperlink" Target="https://www.antler.co/" TargetMode="External"/><Relationship Id="rId53" Type="http://schemas.openxmlformats.org/officeDocument/2006/relationships/hyperlink" Target="http://www.archipelago.global/" TargetMode="External"/><Relationship Id="rId52" Type="http://schemas.openxmlformats.org/officeDocument/2006/relationships/hyperlink" Target="https://www.arclabs.co/" TargetMode="External"/><Relationship Id="rId55" Type="http://schemas.openxmlformats.org/officeDocument/2006/relationships/hyperlink" Target="https://www.arfintech.com.ar/" TargetMode="External"/><Relationship Id="rId161" Type="http://schemas.openxmlformats.org/officeDocument/2006/relationships/hyperlink" Target="https://www.globalfounderscapital.com/" TargetMode="External"/><Relationship Id="rId282" Type="http://schemas.openxmlformats.org/officeDocument/2006/relationships/hyperlink" Target="https://www.remotefirstcapital.com/" TargetMode="External"/><Relationship Id="rId54" Type="http://schemas.openxmlformats.org/officeDocument/2006/relationships/hyperlink" Target="https://www.catorceventures.com/" TargetMode="External"/><Relationship Id="rId160" Type="http://schemas.openxmlformats.org/officeDocument/2006/relationships/hyperlink" Target="http://www.gliscopartners.com" TargetMode="External"/><Relationship Id="rId281" Type="http://schemas.openxmlformats.org/officeDocument/2006/relationships/hyperlink" Target="https://www.linkedin.com/company/redwood-ventures/" TargetMode="External"/><Relationship Id="rId57" Type="http://schemas.openxmlformats.org/officeDocument/2006/relationships/hyperlink" Target="http://www.armorumvc.com/" TargetMode="External"/><Relationship Id="rId280" Type="http://schemas.openxmlformats.org/officeDocument/2006/relationships/hyperlink" Target="https://rallycapventures.com/" TargetMode="External"/><Relationship Id="rId56" Type="http://schemas.openxmlformats.org/officeDocument/2006/relationships/hyperlink" Target="https://www.arkfund.co/" TargetMode="External"/><Relationship Id="rId159" Type="http://schemas.openxmlformats.org/officeDocument/2006/relationships/hyperlink" Target="https://www.ggvc.com/" TargetMode="External"/><Relationship Id="rId59" Type="http://schemas.openxmlformats.org/officeDocument/2006/relationships/hyperlink" Target="https://arpegio.vc/" TargetMode="External"/><Relationship Id="rId154" Type="http://schemas.openxmlformats.org/officeDocument/2006/relationships/hyperlink" Target="http://gccapital.com.mx/" TargetMode="External"/><Relationship Id="rId275" Type="http://schemas.openxmlformats.org/officeDocument/2006/relationships/hyperlink" Target="https://www.linkedin.com/company/qed-investors/" TargetMode="External"/><Relationship Id="rId58" Type="http://schemas.openxmlformats.org/officeDocument/2006/relationships/hyperlink" Target="http://www.artha-partners.com/" TargetMode="External"/><Relationship Id="rId153" Type="http://schemas.openxmlformats.org/officeDocument/2006/relationships/hyperlink" Target="https://www.linkedin.com/company/ganeshalab/" TargetMode="External"/><Relationship Id="rId274" Type="http://schemas.openxmlformats.org/officeDocument/2006/relationships/hyperlink" Target="http://propel.vc/" TargetMode="External"/><Relationship Id="rId152" Type="http://schemas.openxmlformats.org/officeDocument/2006/relationships/hyperlink" Target="http://g2momentum.capital/" TargetMode="External"/><Relationship Id="rId273" Type="http://schemas.openxmlformats.org/officeDocument/2006/relationships/hyperlink" Target="http://www.psm.org.mx" TargetMode="External"/><Relationship Id="rId151" Type="http://schemas.openxmlformats.org/officeDocument/2006/relationships/hyperlink" Target="http://fwv.mx/" TargetMode="External"/><Relationship Id="rId272" Type="http://schemas.openxmlformats.org/officeDocument/2006/relationships/hyperlink" Target="https://www.proezaventures.com/" TargetMode="External"/><Relationship Id="rId158" Type="http://schemas.openxmlformats.org/officeDocument/2006/relationships/hyperlink" Target="http://www.gerberacapital.com" TargetMode="External"/><Relationship Id="rId279" Type="http://schemas.openxmlformats.org/officeDocument/2006/relationships/hyperlink" Target="https://quona.com/" TargetMode="External"/><Relationship Id="rId157" Type="http://schemas.openxmlformats.org/officeDocument/2006/relationships/hyperlink" Target="http://gepian.com.uy/" TargetMode="External"/><Relationship Id="rId278" Type="http://schemas.openxmlformats.org/officeDocument/2006/relationships/hyperlink" Target="https://www.quiet.com/" TargetMode="External"/><Relationship Id="rId156" Type="http://schemas.openxmlformats.org/officeDocument/2006/relationships/hyperlink" Target="https://www.generalatlantic.com/" TargetMode="External"/><Relationship Id="rId277" Type="http://schemas.openxmlformats.org/officeDocument/2006/relationships/hyperlink" Target="http://qualita.com" TargetMode="External"/><Relationship Id="rId155" Type="http://schemas.openxmlformats.org/officeDocument/2006/relationships/hyperlink" Target="http://gemaventures.com/" TargetMode="External"/><Relationship Id="rId276" Type="http://schemas.openxmlformats.org/officeDocument/2006/relationships/hyperlink" Target="https://www.qualcommventures.com/" TargetMode="External"/><Relationship Id="rId107" Type="http://schemas.openxmlformats.org/officeDocument/2006/relationships/hyperlink" Target="https://www.chileventures.vc/" TargetMode="External"/><Relationship Id="rId228" Type="http://schemas.openxmlformats.org/officeDocument/2006/relationships/hyperlink" Target="http://www.mantacapital.com/" TargetMode="External"/><Relationship Id="rId349" Type="http://schemas.openxmlformats.org/officeDocument/2006/relationships/hyperlink" Target="http://vincus.com.mx/" TargetMode="External"/><Relationship Id="rId106" Type="http://schemas.openxmlformats.org/officeDocument/2006/relationships/hyperlink" Target="https://chileglobalventures.cl/" TargetMode="External"/><Relationship Id="rId227" Type="http://schemas.openxmlformats.org/officeDocument/2006/relationships/hyperlink" Target="https://www.magmapartners.com" TargetMode="External"/><Relationship Id="rId348" Type="http://schemas.openxmlformats.org/officeDocument/2006/relationships/hyperlink" Target="https://vilcap.com/" TargetMode="External"/><Relationship Id="rId105" Type="http://schemas.openxmlformats.org/officeDocument/2006/relationships/hyperlink" Target="http://challenger88.com/" TargetMode="External"/><Relationship Id="rId226" Type="http://schemas.openxmlformats.org/officeDocument/2006/relationships/hyperlink" Target="http://magicalstartups.cl/" TargetMode="External"/><Relationship Id="rId347" Type="http://schemas.openxmlformats.org/officeDocument/2006/relationships/hyperlink" Target="https://www.victoryparkcapital.com/" TargetMode="External"/><Relationship Id="rId104" Type="http://schemas.openxmlformats.org/officeDocument/2006/relationships/hyperlink" Target="https://www.cesar.org.br/" TargetMode="External"/><Relationship Id="rId225" Type="http://schemas.openxmlformats.org/officeDocument/2006/relationships/hyperlink" Target="http://macondolab.com/" TargetMode="External"/><Relationship Id="rId346" Type="http://schemas.openxmlformats.org/officeDocument/2006/relationships/hyperlink" Target="http://www.veronorte.com" TargetMode="External"/><Relationship Id="rId109" Type="http://schemas.openxmlformats.org/officeDocument/2006/relationships/hyperlink" Target="https://www.cinepolisaccelerator.com/" TargetMode="External"/><Relationship Id="rId108" Type="http://schemas.openxmlformats.org/officeDocument/2006/relationships/hyperlink" Target="http://www.chrysalis.cl/" TargetMode="External"/><Relationship Id="rId229" Type="http://schemas.openxmlformats.org/officeDocument/2006/relationships/hyperlink" Target="https://masschallenge.org/" TargetMode="External"/><Relationship Id="rId220" Type="http://schemas.openxmlformats.org/officeDocument/2006/relationships/hyperlink" Target="http://www.lip.lat/" TargetMode="External"/><Relationship Id="rId341" Type="http://schemas.openxmlformats.org/officeDocument/2006/relationships/hyperlink" Target="http://www.valurecapital.co/" TargetMode="External"/><Relationship Id="rId340" Type="http://schemas.openxmlformats.org/officeDocument/2006/relationships/hyperlink" Target="http://valorcapitalgroup.com/" TargetMode="External"/><Relationship Id="rId103" Type="http://schemas.openxmlformats.org/officeDocument/2006/relationships/hyperlink" Target="https://www.cemexventures.com/" TargetMode="External"/><Relationship Id="rId224" Type="http://schemas.openxmlformats.org/officeDocument/2006/relationships/hyperlink" Target="http://www.m4fund.com/" TargetMode="External"/><Relationship Id="rId345" Type="http://schemas.openxmlformats.org/officeDocument/2006/relationships/hyperlink" Target="https://ventiur.net/" TargetMode="External"/><Relationship Id="rId102" Type="http://schemas.openxmlformats.org/officeDocument/2006/relationships/hyperlink" Target="https://capitallab.com.br/" TargetMode="External"/><Relationship Id="rId223" Type="http://schemas.openxmlformats.org/officeDocument/2006/relationships/hyperlink" Target="https://linkedin.com/company/lotuxvc" TargetMode="External"/><Relationship Id="rId344" Type="http://schemas.openxmlformats.org/officeDocument/2006/relationships/hyperlink" Target="http://vcscapital.com/" TargetMode="External"/><Relationship Id="rId101" Type="http://schemas.openxmlformats.org/officeDocument/2006/relationships/hyperlink" Target="http://capitalimx.com/" TargetMode="External"/><Relationship Id="rId222" Type="http://schemas.openxmlformats.org/officeDocument/2006/relationships/hyperlink" Target="https://www.linkedin.com/company/liv-capital/about/" TargetMode="External"/><Relationship Id="rId343" Type="http://schemas.openxmlformats.org/officeDocument/2006/relationships/hyperlink" Target="https://vas.ventures/" TargetMode="External"/><Relationship Id="rId100" Type="http://schemas.openxmlformats.org/officeDocument/2006/relationships/hyperlink" Target="http://capitaldeportivo.com/" TargetMode="External"/><Relationship Id="rId221" Type="http://schemas.openxmlformats.org/officeDocument/2006/relationships/hyperlink" Target="https://liquid2.vc/" TargetMode="External"/><Relationship Id="rId342" Type="http://schemas.openxmlformats.org/officeDocument/2006/relationships/hyperlink" Target="https://www.vandercp.com/about-us/" TargetMode="External"/><Relationship Id="rId217" Type="http://schemas.openxmlformats.org/officeDocument/2006/relationships/hyperlink" Target="http://www.leapglobalpartners.com/" TargetMode="External"/><Relationship Id="rId338" Type="http://schemas.openxmlformats.org/officeDocument/2006/relationships/hyperlink" Target="http://utecventures.com/" TargetMode="External"/><Relationship Id="rId216" Type="http://schemas.openxmlformats.org/officeDocument/2006/relationships/hyperlink" Target="https://www.latinia.com/" TargetMode="External"/><Relationship Id="rId337" Type="http://schemas.openxmlformats.org/officeDocument/2006/relationships/hyperlink" Target="http://www.uprising.us/" TargetMode="External"/><Relationship Id="rId215" Type="http://schemas.openxmlformats.org/officeDocument/2006/relationships/hyperlink" Target="http://www.lasolasvc.com/" TargetMode="External"/><Relationship Id="rId336" Type="http://schemas.openxmlformats.org/officeDocument/2006/relationships/hyperlink" Target="https://uddventures.udd.cl/" TargetMode="External"/><Relationship Id="rId214" Type="http://schemas.openxmlformats.org/officeDocument/2006/relationships/hyperlink" Target="https://laif.co/en/home/" TargetMode="External"/><Relationship Id="rId335" Type="http://schemas.openxmlformats.org/officeDocument/2006/relationships/hyperlink" Target="https://uptimiza.com/" TargetMode="External"/><Relationship Id="rId219" Type="http://schemas.openxmlformats.org/officeDocument/2006/relationships/hyperlink" Target="https://www.liil.city/" TargetMode="External"/><Relationship Id="rId218" Type="http://schemas.openxmlformats.org/officeDocument/2006/relationships/hyperlink" Target="http://www.lifeistooshort.capital/" TargetMode="External"/><Relationship Id="rId339" Type="http://schemas.openxmlformats.org/officeDocument/2006/relationships/hyperlink" Target="https://valhallaprivatecap.com/" TargetMode="External"/><Relationship Id="rId330" Type="http://schemas.openxmlformats.org/officeDocument/2006/relationships/hyperlink" Target="http://tigerglobal.com/" TargetMode="External"/><Relationship Id="rId213" Type="http://schemas.openxmlformats.org/officeDocument/2006/relationships/hyperlink" Target="https://www.lafise.com/investment/es-es/" TargetMode="External"/><Relationship Id="rId334" Type="http://schemas.openxmlformats.org/officeDocument/2006/relationships/hyperlink" Target="https://www.777.investments/" TargetMode="External"/><Relationship Id="rId212" Type="http://schemas.openxmlformats.org/officeDocument/2006/relationships/hyperlink" Target="https://labcap.mx/" TargetMode="External"/><Relationship Id="rId333" Type="http://schemas.openxmlformats.org/officeDocument/2006/relationships/hyperlink" Target="http://trebolcapital.com/" TargetMode="External"/><Relationship Id="rId211" Type="http://schemas.openxmlformats.org/officeDocument/2006/relationships/hyperlink" Target="https://koga.com.py" TargetMode="External"/><Relationship Id="rId332" Type="http://schemas.openxmlformats.org/officeDocument/2006/relationships/hyperlink" Target="https://www.tpg.com/" TargetMode="External"/><Relationship Id="rId210" Type="http://schemas.openxmlformats.org/officeDocument/2006/relationships/hyperlink" Target="https://www.kmcapital.com.mx/" TargetMode="External"/><Relationship Id="rId331" Type="http://schemas.openxmlformats.org/officeDocument/2006/relationships/hyperlink" Target="http://www.toroventures.mx/" TargetMode="External"/><Relationship Id="rId129" Type="http://schemas.openxmlformats.org/officeDocument/2006/relationships/hyperlink" Target="http://www.ecapital.com.mx/" TargetMode="External"/><Relationship Id="rId128" Type="http://schemas.openxmlformats.org/officeDocument/2006/relationships/hyperlink" Target="https://dst-global.com/" TargetMode="External"/><Relationship Id="rId249" Type="http://schemas.openxmlformats.org/officeDocument/2006/relationships/hyperlink" Target="https://www.nxtplabs.com/" TargetMode="External"/><Relationship Id="rId127" Type="http://schemas.openxmlformats.org/officeDocument/2006/relationships/hyperlink" Target="https://draperb1.vc/" TargetMode="External"/><Relationship Id="rId248" Type="http://schemas.openxmlformats.org/officeDocument/2006/relationships/hyperlink" Target="https://www.mexico.numa.co/" TargetMode="External"/><Relationship Id="rId369" Type="http://schemas.openxmlformats.org/officeDocument/2006/relationships/vmlDrawing" Target="../drawings/vmlDrawing1.vml"/><Relationship Id="rId126" Type="http://schemas.openxmlformats.org/officeDocument/2006/relationships/hyperlink" Target="http://www.domoinvest.com.br/" TargetMode="External"/><Relationship Id="rId247" Type="http://schemas.openxmlformats.org/officeDocument/2006/relationships/hyperlink" Target="https://www.niloventures.com/" TargetMode="External"/><Relationship Id="rId368" Type="http://schemas.openxmlformats.org/officeDocument/2006/relationships/drawing" Target="../drawings/drawing1.xml"/><Relationship Id="rId121" Type="http://schemas.openxmlformats.org/officeDocument/2006/relationships/hyperlink" Target="https://www.dadneo.com/" TargetMode="External"/><Relationship Id="rId242" Type="http://schemas.openxmlformats.org/officeDocument/2006/relationships/hyperlink" Target="https://www.nazca.vc/" TargetMode="External"/><Relationship Id="rId363" Type="http://schemas.openxmlformats.org/officeDocument/2006/relationships/hyperlink" Target="https://www.ycombinator.com/" TargetMode="External"/><Relationship Id="rId120" Type="http://schemas.openxmlformats.org/officeDocument/2006/relationships/hyperlink" Target="http://davinci.lat/" TargetMode="External"/><Relationship Id="rId241" Type="http://schemas.openxmlformats.org/officeDocument/2006/relationships/hyperlink" Target="https://www.mubadala.com/" TargetMode="External"/><Relationship Id="rId362" Type="http://schemas.openxmlformats.org/officeDocument/2006/relationships/hyperlink" Target="https://www.xylocapital.com/" TargetMode="External"/><Relationship Id="rId240" Type="http://schemas.openxmlformats.org/officeDocument/2006/relationships/hyperlink" Target="http://mswbrstartups.com.br/" TargetMode="External"/><Relationship Id="rId361" Type="http://schemas.openxmlformats.org/officeDocument/2006/relationships/hyperlink" Target="https://www.pronetwork.mx/" TargetMode="External"/><Relationship Id="rId360" Type="http://schemas.openxmlformats.org/officeDocument/2006/relationships/hyperlink" Target="https://www.xochiventures.com/" TargetMode="External"/><Relationship Id="rId125" Type="http://schemas.openxmlformats.org/officeDocument/2006/relationships/hyperlink" Target="http://www.dilacapital.com/" TargetMode="External"/><Relationship Id="rId246" Type="http://schemas.openxmlformats.org/officeDocument/2006/relationships/hyperlink" Target="https://www.nextbillionvc.com/" TargetMode="External"/><Relationship Id="rId367" Type="http://schemas.openxmlformats.org/officeDocument/2006/relationships/hyperlink" Target="https://zx-ventures.com/" TargetMode="External"/><Relationship Id="rId124" Type="http://schemas.openxmlformats.org/officeDocument/2006/relationships/hyperlink" Target="https://www.dgf.com.br/" TargetMode="External"/><Relationship Id="rId245" Type="http://schemas.openxmlformats.org/officeDocument/2006/relationships/hyperlink" Target="https://nvgroup.org/" TargetMode="External"/><Relationship Id="rId366" Type="http://schemas.openxmlformats.org/officeDocument/2006/relationships/hyperlink" Target="http://zumacapital.mx/" TargetMode="External"/><Relationship Id="rId123" Type="http://schemas.openxmlformats.org/officeDocument/2006/relationships/hyperlink" Target="http://darwinstartups.com/" TargetMode="External"/><Relationship Id="rId244" Type="http://schemas.openxmlformats.org/officeDocument/2006/relationships/hyperlink" Target="http://www.nerdcube.club/" TargetMode="External"/><Relationship Id="rId365" Type="http://schemas.openxmlformats.org/officeDocument/2006/relationships/hyperlink" Target="http://zulu.vc/" TargetMode="External"/><Relationship Id="rId122" Type="http://schemas.openxmlformats.org/officeDocument/2006/relationships/hyperlink" Target="http://darkhorse.mx/" TargetMode="External"/><Relationship Id="rId243" Type="http://schemas.openxmlformats.org/officeDocument/2006/relationships/hyperlink" Target="https://www.neekcapital.mx/" TargetMode="External"/><Relationship Id="rId364" Type="http://schemas.openxmlformats.org/officeDocument/2006/relationships/hyperlink" Target="https://ziggcap.com/" TargetMode="External"/><Relationship Id="rId95" Type="http://schemas.openxmlformats.org/officeDocument/2006/relationships/hyperlink" Target="https://caricaco.com/" TargetMode="External"/><Relationship Id="rId94" Type="http://schemas.openxmlformats.org/officeDocument/2006/relationships/hyperlink" Target="https://www.caraov.com/" TargetMode="External"/><Relationship Id="rId97" Type="http://schemas.openxmlformats.org/officeDocument/2006/relationships/hyperlink" Target="http://www.caffeine.vc/" TargetMode="External"/><Relationship Id="rId96" Type="http://schemas.openxmlformats.org/officeDocument/2006/relationships/hyperlink" Target="https://cracks.la/" TargetMode="External"/><Relationship Id="rId99" Type="http://schemas.openxmlformats.org/officeDocument/2006/relationships/hyperlink" Target="https://cantera.co/" TargetMode="External"/><Relationship Id="rId98" Type="http://schemas.openxmlformats.org/officeDocument/2006/relationships/hyperlink" Target="https://canary.com.br/" TargetMode="External"/><Relationship Id="rId91" Type="http://schemas.openxmlformats.org/officeDocument/2006/relationships/hyperlink" Target="https://www.canaan.com/" TargetMode="External"/><Relationship Id="rId90" Type="http://schemas.openxmlformats.org/officeDocument/2006/relationships/hyperlink" Target="http://b37.vc/" TargetMode="External"/><Relationship Id="rId93" Type="http://schemas.openxmlformats.org/officeDocument/2006/relationships/hyperlink" Target="https://www.broadhaven.com/" TargetMode="External"/><Relationship Id="rId92" Type="http://schemas.openxmlformats.org/officeDocument/2006/relationships/hyperlink" Target="https://www.carabela.vc/" TargetMode="External"/><Relationship Id="rId118" Type="http://schemas.openxmlformats.org/officeDocument/2006/relationships/hyperlink" Target="https://www.crp.com.br/" TargetMode="External"/><Relationship Id="rId239" Type="http://schemas.openxmlformats.org/officeDocument/2006/relationships/hyperlink" Target="https://mrpink.vc/" TargetMode="External"/><Relationship Id="rId117" Type="http://schemas.openxmlformats.org/officeDocument/2006/relationships/hyperlink" Target="http://www.connovo.org/" TargetMode="External"/><Relationship Id="rId238" Type="http://schemas.openxmlformats.org/officeDocument/2006/relationships/hyperlink" Target="https://www.movile.com.br/" TargetMode="External"/><Relationship Id="rId359" Type="http://schemas.openxmlformats.org/officeDocument/2006/relationships/hyperlink" Target="http://www.xbventures.com/" TargetMode="External"/><Relationship Id="rId116" Type="http://schemas.openxmlformats.org/officeDocument/2006/relationships/hyperlink" Target="http://variv.com/" TargetMode="External"/><Relationship Id="rId237" Type="http://schemas.openxmlformats.org/officeDocument/2006/relationships/hyperlink" Target="http://monashees.com.br" TargetMode="External"/><Relationship Id="rId358" Type="http://schemas.openxmlformats.org/officeDocument/2006/relationships/hyperlink" Target="https://www.wow.ac/" TargetMode="External"/><Relationship Id="rId115" Type="http://schemas.openxmlformats.org/officeDocument/2006/relationships/hyperlink" Target="https://www.colaborativo.com.mx/" TargetMode="External"/><Relationship Id="rId236" Type="http://schemas.openxmlformats.org/officeDocument/2006/relationships/hyperlink" Target="https://mitaventures.com/" TargetMode="External"/><Relationship Id="rId357" Type="http://schemas.openxmlformats.org/officeDocument/2006/relationships/hyperlink" Target="http://www.wolfsongroupinc.com/" TargetMode="External"/><Relationship Id="rId119" Type="http://schemas.openxmlformats.org/officeDocument/2006/relationships/hyperlink" Target="http://www.cygnusvc.com/" TargetMode="External"/><Relationship Id="rId110" Type="http://schemas.openxmlformats.org/officeDocument/2006/relationships/hyperlink" Target="http://cites-gss.com/" TargetMode="External"/><Relationship Id="rId231" Type="http://schemas.openxmlformats.org/officeDocument/2006/relationships/hyperlink" Target="https://www.mayancapitalfund.com.mx/" TargetMode="External"/><Relationship Id="rId352" Type="http://schemas.openxmlformats.org/officeDocument/2006/relationships/hyperlink" Target="http://waveaccelerator.com/" TargetMode="External"/><Relationship Id="rId230" Type="http://schemas.openxmlformats.org/officeDocument/2006/relationships/hyperlink" Target="https://www.maya.capital/" TargetMode="External"/><Relationship Id="rId351" Type="http://schemas.openxmlformats.org/officeDocument/2006/relationships/hyperlink" Target="https://capital.vulcan.com/" TargetMode="External"/><Relationship Id="rId350" Type="http://schemas.openxmlformats.org/officeDocument/2006/relationships/hyperlink" Target="https://vef.vc/" TargetMode="External"/><Relationship Id="rId114" Type="http://schemas.openxmlformats.org/officeDocument/2006/relationships/hyperlink" Target="https://www.co-pace.com/" TargetMode="External"/><Relationship Id="rId235" Type="http://schemas.openxmlformats.org/officeDocument/2006/relationships/hyperlink" Target="http://midstage.co/" TargetMode="External"/><Relationship Id="rId356" Type="http://schemas.openxmlformats.org/officeDocument/2006/relationships/hyperlink" Target="https://www.winnipegcapital.com/" TargetMode="External"/><Relationship Id="rId113" Type="http://schemas.openxmlformats.org/officeDocument/2006/relationships/hyperlink" Target="https://cloutcap.com/" TargetMode="External"/><Relationship Id="rId234" Type="http://schemas.openxmlformats.org/officeDocument/2006/relationships/hyperlink" Target="http://www.fondodefondos.com.mx/en" TargetMode="External"/><Relationship Id="rId355" Type="http://schemas.openxmlformats.org/officeDocument/2006/relationships/hyperlink" Target="https://weboost.vc/" TargetMode="External"/><Relationship Id="rId112" Type="http://schemas.openxmlformats.org/officeDocument/2006/relationships/hyperlink" Target="https://www.clocktowerventures.com/" TargetMode="External"/><Relationship Id="rId233" Type="http://schemas.openxmlformats.org/officeDocument/2006/relationships/hyperlink" Target="https://www.mercadolibre.com/fund" TargetMode="External"/><Relationship Id="rId354" Type="http://schemas.openxmlformats.org/officeDocument/2006/relationships/hyperlink" Target="https://wbinnova.com/" TargetMode="External"/><Relationship Id="rId111" Type="http://schemas.openxmlformats.org/officeDocument/2006/relationships/hyperlink" Target="https://www.cityhallcapital.com/" TargetMode="External"/><Relationship Id="rId232" Type="http://schemas.openxmlformats.org/officeDocument/2006/relationships/hyperlink" Target="http://www.medinacapital.com/" TargetMode="External"/><Relationship Id="rId353" Type="http://schemas.openxmlformats.org/officeDocument/2006/relationships/hyperlink" Target="https://mx.wayra.co/" TargetMode="External"/><Relationship Id="rId305" Type="http://schemas.openxmlformats.org/officeDocument/2006/relationships/hyperlink" Target="http://sponsorgroup.cl/" TargetMode="External"/><Relationship Id="rId304" Type="http://schemas.openxmlformats.org/officeDocument/2006/relationships/hyperlink" Target="https://www.georgesoros.com/" TargetMode="External"/><Relationship Id="rId303" Type="http://schemas.openxmlformats.org/officeDocument/2006/relationships/hyperlink" Target="https://www.somacap.com/" TargetMode="External"/><Relationship Id="rId302" Type="http://schemas.openxmlformats.org/officeDocument/2006/relationships/hyperlink" Target="http://www.soldiersfieldangels.com/" TargetMode="External"/><Relationship Id="rId309" Type="http://schemas.openxmlformats.org/officeDocument/2006/relationships/hyperlink" Target="https://www.startupchile.org/" TargetMode="External"/><Relationship Id="rId308" Type="http://schemas.openxmlformats.org/officeDocument/2006/relationships/hyperlink" Target="http://www.startegyvb.com/" TargetMode="External"/><Relationship Id="rId307" Type="http://schemas.openxmlformats.org/officeDocument/2006/relationships/hyperlink" Target="http://www.startyouup.com.br/" TargetMode="External"/><Relationship Id="rId306" Type="http://schemas.openxmlformats.org/officeDocument/2006/relationships/hyperlink" Target="http://www.starlight.vc" TargetMode="External"/><Relationship Id="rId301" Type="http://schemas.openxmlformats.org/officeDocument/2006/relationships/hyperlink" Target="http://www.softlandingsuruguay.org/" TargetMode="External"/><Relationship Id="rId300" Type="http://schemas.openxmlformats.org/officeDocument/2006/relationships/hyperlink" Target="http://www.softbank.co.jp/en/index.html" TargetMode="External"/><Relationship Id="rId206" Type="http://schemas.openxmlformats.org/officeDocument/2006/relationships/hyperlink" Target="https://kamayventures.com/" TargetMode="External"/><Relationship Id="rId327" Type="http://schemas.openxmlformats.org/officeDocument/2006/relationships/hyperlink" Target="http://www.thirdlake.com/" TargetMode="External"/><Relationship Id="rId205" Type="http://schemas.openxmlformats.org/officeDocument/2006/relationships/hyperlink" Target="http://www.kaleiventures.com/" TargetMode="External"/><Relationship Id="rId326" Type="http://schemas.openxmlformats.org/officeDocument/2006/relationships/hyperlink" Target="https://theventure.city/" TargetMode="External"/><Relationship Id="rId204" Type="http://schemas.openxmlformats.org/officeDocument/2006/relationships/hyperlink" Target="http://jumpbrasil.com/" TargetMode="External"/><Relationship Id="rId325" Type="http://schemas.openxmlformats.org/officeDocument/2006/relationships/hyperlink" Target="http://www.tempestcapital.com/" TargetMode="External"/><Relationship Id="rId203" Type="http://schemas.openxmlformats.org/officeDocument/2006/relationships/hyperlink" Target="http://www.jefferies.com/" TargetMode="External"/><Relationship Id="rId324" Type="http://schemas.openxmlformats.org/officeDocument/2006/relationships/hyperlink" Target="https://www.temasek.com.sg" TargetMode="External"/><Relationship Id="rId209" Type="http://schemas.openxmlformats.org/officeDocument/2006/relationships/hyperlink" Target="https://www.kionetworks.com/" TargetMode="External"/><Relationship Id="rId208" Type="http://schemas.openxmlformats.org/officeDocument/2006/relationships/hyperlink" Target="https://www.kf-ventures.com/" TargetMode="External"/><Relationship Id="rId329" Type="http://schemas.openxmlformats.org/officeDocument/2006/relationships/hyperlink" Target="https://thrivecap.com/" TargetMode="External"/><Relationship Id="rId207" Type="http://schemas.openxmlformats.org/officeDocument/2006/relationships/hyperlink" Target="https://www.kaszek.com/" TargetMode="External"/><Relationship Id="rId328" Type="http://schemas.openxmlformats.org/officeDocument/2006/relationships/hyperlink" Target="https://thomvest.com/" TargetMode="External"/><Relationship Id="rId202" Type="http://schemas.openxmlformats.org/officeDocument/2006/relationships/hyperlink" Target="https://www.jaguarvc.com/" TargetMode="External"/><Relationship Id="rId323" Type="http://schemas.openxmlformats.org/officeDocument/2006/relationships/hyperlink" Target="http://techmallsa.com.br/" TargetMode="External"/><Relationship Id="rId201" Type="http://schemas.openxmlformats.org/officeDocument/2006/relationships/hyperlink" Target="http://jaguargrowth.com/" TargetMode="External"/><Relationship Id="rId322" Type="http://schemas.openxmlformats.org/officeDocument/2006/relationships/hyperlink" Target="http://syndreams.com.br/" TargetMode="External"/><Relationship Id="rId200" Type="http://schemas.openxmlformats.org/officeDocument/2006/relationships/hyperlink" Target="http://www.iteracapital.com" TargetMode="External"/><Relationship Id="rId321" Type="http://schemas.openxmlformats.org/officeDocument/2006/relationships/hyperlink" Target="http://www.svx.mx" TargetMode="External"/><Relationship Id="rId320" Type="http://schemas.openxmlformats.org/officeDocument/2006/relationships/hyperlink" Target="https://www.svlatamcap.com" TargetMode="External"/><Relationship Id="rId316" Type="http://schemas.openxmlformats.org/officeDocument/2006/relationships/hyperlink" Target="http://www.stcapital.mx" TargetMode="External"/><Relationship Id="rId315" Type="http://schemas.openxmlformats.org/officeDocument/2006/relationships/hyperlink" Target="http://www.stellamaris.mx" TargetMode="External"/><Relationship Id="rId314" Type="http://schemas.openxmlformats.org/officeDocument/2006/relationships/hyperlink" Target="http://startuplab.mx/" TargetMode="External"/><Relationship Id="rId313" Type="http://schemas.openxmlformats.org/officeDocument/2006/relationships/hyperlink" Target="https://www.startupbootcamp.org/" TargetMode="External"/><Relationship Id="rId319" Type="http://schemas.openxmlformats.org/officeDocument/2006/relationships/hyperlink" Target="https://supernode.vc/" TargetMode="External"/><Relationship Id="rId318" Type="http://schemas.openxmlformats.org/officeDocument/2006/relationships/hyperlink" Target="https://superjobs.vc/" TargetMode="External"/><Relationship Id="rId317" Type="http://schemas.openxmlformats.org/officeDocument/2006/relationships/hyperlink" Target="https://www.linkedin.com/company/sudamerik/" TargetMode="External"/><Relationship Id="rId312" Type="http://schemas.openxmlformats.org/officeDocument/2006/relationships/hyperlink" Target="https://startupstudio.mx/" TargetMode="External"/><Relationship Id="rId311" Type="http://schemas.openxmlformats.org/officeDocument/2006/relationships/hyperlink" Target="https://www.startupmexico.com" TargetMode="External"/><Relationship Id="rId310" Type="http://schemas.openxmlformats.org/officeDocument/2006/relationships/hyperlink" Target="https://startup.far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75"/>
  <cols>
    <col customWidth="1" min="1" max="1" width="29.25"/>
    <col customWidth="1" min="2" max="2" width="36.13"/>
    <col customWidth="1" min="3" max="3" width="35.75"/>
    <col customWidth="1" min="4" max="4" width="12.25"/>
    <col customWidth="1" min="5" max="5" width="19.0"/>
    <col customWidth="1" min="6" max="10" width="11.75"/>
    <col customWidth="1" min="11" max="11" width="18.63"/>
    <col customWidth="1" min="12" max="12" width="24.25"/>
    <col customWidth="1" min="13" max="13" width="51.63"/>
    <col customWidth="1" hidden="1" min="14" max="14" width="11.0"/>
    <col customWidth="1" min="15" max="15" width="77.38"/>
    <col hidden="1" min="16" max="17" width="12.63"/>
  </cols>
  <sheetData>
    <row r="1">
      <c r="A1" s="1" t="str">
        <f>IFERROR(__xludf.DUMMYFUNCTION("IMPORTRANGE(""https://docs.google.com/spreadsheets/d/1u6KV1tITXjez3eEIMZd7ZagjimFvjewa5Dkvbc9KPeM/edit?usp=sharing"", ""Investment Funds!A1:zzz999"")"),"Done by:")</f>
        <v>Done by:</v>
      </c>
      <c r="B1" s="1" t="str">
        <f>IFERROR(__xludf.DUMMYFUNCTION("""COMPUTED_VALUE"""),"mat@lotux.vc")</f>
        <v>mat@lotux.vc</v>
      </c>
      <c r="C1" s="1"/>
      <c r="D1" s="1"/>
      <c r="E1" s="1"/>
      <c r="F1" s="1"/>
      <c r="G1" s="1"/>
      <c r="H1" s="1"/>
      <c r="I1" s="1"/>
      <c r="J1" s="1"/>
      <c r="K1" s="2"/>
      <c r="L1" s="2"/>
      <c r="M1" s="2"/>
      <c r="N1" s="3"/>
      <c r="O1" s="2"/>
      <c r="P1" s="1"/>
      <c r="Q1" s="1"/>
      <c r="R1" s="1"/>
      <c r="S1" s="1"/>
      <c r="T1" s="1"/>
      <c r="U1" s="1"/>
      <c r="V1" s="1"/>
      <c r="W1" s="1"/>
      <c r="X1" s="1"/>
      <c r="Y1" s="1"/>
      <c r="Z1" s="1"/>
    </row>
    <row r="2">
      <c r="A2" s="1"/>
      <c r="B2" s="1" t="str">
        <f>IFERROR(__xludf.DUMMYFUNCTION("""COMPUTED_VALUE"""),"ecardena@masschallenge.org")</f>
        <v>ecardena@masschallenge.org</v>
      </c>
      <c r="C2" s="1"/>
      <c r="D2" s="1"/>
      <c r="E2" s="1"/>
      <c r="F2" s="1"/>
      <c r="G2" s="1"/>
      <c r="H2" s="1"/>
      <c r="I2" s="1"/>
      <c r="J2" s="1"/>
      <c r="K2" s="2"/>
      <c r="L2" s="2"/>
      <c r="M2" s="2"/>
      <c r="N2" s="3"/>
      <c r="O2" s="2"/>
      <c r="P2" s="1"/>
      <c r="Q2" s="1"/>
      <c r="R2" s="1"/>
      <c r="S2" s="1"/>
      <c r="T2" s="1"/>
      <c r="U2" s="1"/>
      <c r="V2" s="1"/>
      <c r="W2" s="1"/>
      <c r="X2" s="1"/>
      <c r="Y2" s="1"/>
      <c r="Z2" s="1"/>
    </row>
    <row r="3">
      <c r="A3" s="4" t="str">
        <f>IFERROR(__xludf.DUMMYFUNCTION("""COMPUTED_VALUE"""),"This list is a work in progress! To request changes or add information, comment the sheet or email: mat@lotux.vc")</f>
        <v>This list is a work in progress! To request changes or add information, comment the sheet or email: mat@lotux.vc</v>
      </c>
      <c r="B3" s="1"/>
      <c r="C3" s="1"/>
      <c r="D3" s="1"/>
      <c r="E3" s="1"/>
      <c r="F3" s="1"/>
      <c r="G3" s="1"/>
      <c r="H3" s="1"/>
      <c r="I3" s="1"/>
      <c r="J3" s="1"/>
      <c r="K3" s="2"/>
      <c r="L3" s="2"/>
      <c r="M3" s="2"/>
      <c r="N3" s="3"/>
      <c r="O3" s="2"/>
      <c r="P3" s="1"/>
      <c r="Q3" s="1"/>
      <c r="R3" s="1"/>
      <c r="S3" s="1"/>
      <c r="T3" s="1"/>
      <c r="U3" s="1"/>
      <c r="V3" s="1"/>
      <c r="W3" s="1"/>
      <c r="X3" s="1"/>
      <c r="Y3" s="1"/>
      <c r="Z3" s="1"/>
    </row>
    <row r="4">
      <c r="A4" s="5" t="str">
        <f>IFERROR(__xludf.DUMMYFUNCTION("""COMPUTED_VALUE"""),"Total funds")</f>
        <v>Total funds</v>
      </c>
      <c r="B4" s="5">
        <f>IFERROR(__xludf.DUMMYFUNCTION("""COMPUTED_VALUE"""),377.0)</f>
        <v>377</v>
      </c>
      <c r="C4" s="1"/>
      <c r="D4" s="1"/>
      <c r="E4" s="1"/>
      <c r="F4" s="1"/>
      <c r="G4" s="1"/>
      <c r="H4" s="1"/>
      <c r="I4" s="1"/>
      <c r="J4" s="1"/>
      <c r="K4" s="2"/>
      <c r="L4" s="2"/>
      <c r="M4" s="2"/>
      <c r="N4" s="3"/>
      <c r="O4" s="2"/>
      <c r="P4" s="1"/>
      <c r="Q4" s="1"/>
      <c r="R4" s="1"/>
      <c r="S4" s="1"/>
      <c r="T4" s="1"/>
      <c r="U4" s="1"/>
      <c r="V4" s="1"/>
      <c r="W4" s="1"/>
      <c r="X4" s="1"/>
      <c r="Y4" s="1"/>
      <c r="Z4" s="1"/>
    </row>
    <row r="5">
      <c r="A5" s="5" t="str">
        <f>IFERROR(__xludf.DUMMYFUNCTION("""COMPUTED_VALUE"""),"Last updated")</f>
        <v>Last updated</v>
      </c>
      <c r="B5" s="6">
        <f>IFERROR(__xludf.DUMMYFUNCTION("""COMPUTED_VALUE"""),46031.0)</f>
        <v>46031</v>
      </c>
      <c r="C5" s="1"/>
      <c r="D5" s="1"/>
      <c r="E5" s="1"/>
      <c r="F5" s="1"/>
      <c r="G5" s="1"/>
      <c r="H5" s="1"/>
      <c r="I5" s="1"/>
      <c r="J5" s="1"/>
      <c r="K5" s="2"/>
      <c r="L5" s="2"/>
      <c r="M5" s="2"/>
      <c r="N5" s="3"/>
      <c r="O5" s="2"/>
      <c r="P5" s="1"/>
      <c r="Q5" s="1"/>
      <c r="R5" s="1"/>
      <c r="S5" s="1"/>
      <c r="T5" s="1"/>
      <c r="U5" s="1"/>
      <c r="V5" s="1"/>
      <c r="W5" s="1"/>
      <c r="X5" s="1"/>
      <c r="Y5" s="1"/>
      <c r="Z5" s="1"/>
    </row>
    <row r="6">
      <c r="A6" s="2" t="str">
        <f>IFERROR(__xludf.DUMMYFUNCTION("""COMPUTED_VALUE"""),"Name")</f>
        <v>Name</v>
      </c>
      <c r="B6" s="2" t="str">
        <f>IFERROR(__xludf.DUMMYFUNCTION("""COMPUTED_VALUE"""),"Type")</f>
        <v>Type</v>
      </c>
      <c r="C6" s="2" t="str">
        <f>IFERROR(__xludf.DUMMYFUNCTION("""COMPUTED_VALUE"""),"Website")</f>
        <v>Website</v>
      </c>
      <c r="D6" s="2" t="str">
        <f>IFERROR(__xludf.DUMMYFUNCTION("""COMPUTED_VALUE"""),"HQ - City")</f>
        <v>HQ - City</v>
      </c>
      <c r="E6" s="2" t="str">
        <f>IFERROR(__xludf.DUMMYFUNCTION("""COMPUTED_VALUE"""),"HQ - Country")</f>
        <v>HQ - Country</v>
      </c>
      <c r="F6" s="2" t="str">
        <f>IFERROR(__xludf.DUMMYFUNCTION("""COMPUTED_VALUE"""),"Invest in Pre-seed")</f>
        <v>Invest in Pre-seed</v>
      </c>
      <c r="G6" s="2" t="str">
        <f>IFERROR(__xludf.DUMMYFUNCTION("""COMPUTED_VALUE"""),"Invest in Seed")</f>
        <v>Invest in Seed</v>
      </c>
      <c r="H6" s="2" t="str">
        <f>IFERROR(__xludf.DUMMYFUNCTION("""COMPUTED_VALUE"""),"Invest in Series A")</f>
        <v>Invest in Series A</v>
      </c>
      <c r="I6" s="2" t="str">
        <f>IFERROR(__xludf.DUMMYFUNCTION("""COMPUTED_VALUE"""),"Invest in Series B")</f>
        <v>Invest in Series B</v>
      </c>
      <c r="J6" s="2" t="str">
        <f>IFERROR(__xludf.DUMMYFUNCTION("""COMPUTED_VALUE"""),"Invest in Series C+")</f>
        <v>Invest in Series C+</v>
      </c>
      <c r="K6" s="2" t="str">
        <f>IFERROR(__xludf.DUMMYFUNCTION("""COMPUTED_VALUE"""),"Geographical focus")</f>
        <v>Geographical focus</v>
      </c>
      <c r="L6" s="2" t="str">
        <f>IFERROR(__xludf.DUMMYFUNCTION("""COMPUTED_VALUE"""),"Average investment ticket")</f>
        <v>Average investment ticket</v>
      </c>
      <c r="M6" s="2" t="str">
        <f>IFERROR(__xludf.DUMMYFUNCTION("""COMPUTED_VALUE"""),"Main industry focus")</f>
        <v>Main industry focus</v>
      </c>
      <c r="N6" s="2" t="str">
        <f>IFERROR(__xludf.DUMMYFUNCTION("""COMPUTED_VALUE"""),"Fund size")</f>
        <v>Fund size</v>
      </c>
      <c r="O6" s="2" t="str">
        <f>IFERROR(__xludf.DUMMYFUNCTION("""COMPUTED_VALUE"""),"Description")</f>
        <v>Description</v>
      </c>
      <c r="P6" s="2" t="str">
        <f>IFERROR(__xludf.DUMMYFUNCTION("""COMPUTED_VALUE"""),"Fund Status")</f>
        <v>Fund Status</v>
      </c>
      <c r="Q6" s="2" t="str">
        <f>IFERROR(__xludf.DUMMYFUNCTION("""COMPUTED_VALUE"""),"Latest Investment")</f>
        <v>Latest Investment</v>
      </c>
      <c r="R6" s="2"/>
      <c r="S6" s="2"/>
      <c r="T6" s="2"/>
      <c r="U6" s="2"/>
      <c r="V6" s="2"/>
      <c r="W6" s="2"/>
      <c r="X6" s="2"/>
      <c r="Y6" s="2"/>
      <c r="Z6" s="2"/>
    </row>
    <row r="7">
      <c r="A7" s="1" t="str">
        <f>IFERROR(__xludf.DUMMYFUNCTION("""COMPUTED_VALUE"""),"0BS")</f>
        <v>0BS</v>
      </c>
      <c r="B7" s="1" t="str">
        <f>IFERROR(__xludf.DUMMYFUNCTION("""COMPUTED_VALUE"""),"Angel Investor Group")</f>
        <v>Angel Investor Group</v>
      </c>
      <c r="C7" s="7" t="str">
        <f>IFERROR(__xludf.DUMMYFUNCTION("""COMPUTED_VALUE"""),"https://www.0bs.mx/")</f>
        <v>https://www.0bs.mx/</v>
      </c>
      <c r="D7" s="1" t="str">
        <f>IFERROR(__xludf.DUMMYFUNCTION("""COMPUTED_VALUE"""),"Mexico")</f>
        <v>Mexico</v>
      </c>
      <c r="E7" s="1" t="str">
        <f>IFERROR(__xludf.DUMMYFUNCTION("""COMPUTED_VALUE"""),"Mexico, Latam")</f>
        <v>Mexico, Latam</v>
      </c>
      <c r="F7" s="1" t="str">
        <f>IFERROR(__xludf.DUMMYFUNCTION("""COMPUTED_VALUE"""),"Y")</f>
        <v>Y</v>
      </c>
      <c r="G7" s="1" t="str">
        <f>IFERROR(__xludf.DUMMYFUNCTION("""COMPUTED_VALUE"""),"Y")</f>
        <v>Y</v>
      </c>
      <c r="H7" s="1"/>
      <c r="I7" s="1"/>
      <c r="J7" s="1"/>
      <c r="K7" s="2" t="str">
        <f>IFERROR(__xludf.DUMMYFUNCTION("""COMPUTED_VALUE"""),"Mexico, Latam")</f>
        <v>Mexico, Latam</v>
      </c>
      <c r="L7" s="2" t="str">
        <f>IFERROR(__xludf.DUMMYFUNCTION("""COMPUTED_VALUE"""),"25k USD")</f>
        <v>25k USD</v>
      </c>
      <c r="M7" s="2" t="str">
        <f>IFERROR(__xludf.DUMMYFUNCTION("""COMPUTED_VALUE"""),"Tech")</f>
        <v>Tech</v>
      </c>
      <c r="N7" s="3"/>
      <c r="O7" s="2" t="str">
        <f>IFERROR(__xludf.DUMMYFUNCTION("""COMPUTED_VALUE"""),"We are not a VC Fund, we are a group of Angel investors.")</f>
        <v>We are not a VC Fund, we are a group of Angel investors.</v>
      </c>
      <c r="P7" s="1" t="str">
        <f>IFERROR(__xludf.DUMMYFUNCTION("""COMPUTED_VALUE"""),"Investing")</f>
        <v>Investing</v>
      </c>
      <c r="Q7" s="1"/>
      <c r="R7" s="1"/>
      <c r="S7" s="1"/>
      <c r="T7" s="1"/>
      <c r="U7" s="1"/>
      <c r="V7" s="1"/>
      <c r="W7" s="1"/>
      <c r="X7" s="1"/>
      <c r="Y7" s="1"/>
      <c r="Z7" s="1"/>
    </row>
    <row r="8">
      <c r="A8" s="1" t="str">
        <f>IFERROR(__xludf.DUMMYFUNCTION("""COMPUTED_VALUE"""),"500 Global")</f>
        <v>500 Global</v>
      </c>
      <c r="B8" s="1" t="str">
        <f>IFERROR(__xludf.DUMMYFUNCTION("""COMPUTED_VALUE"""),"Venture Capital Fund, Accelerator")</f>
        <v>Venture Capital Fund, Accelerator</v>
      </c>
      <c r="C8" s="7" t="str">
        <f>IFERROR(__xludf.DUMMYFUNCTION("""COMPUTED_VALUE"""),"http://500mexicocity.com/")</f>
        <v>http://500mexicocity.com/</v>
      </c>
      <c r="D8" s="1" t="str">
        <f>IFERROR(__xludf.DUMMYFUNCTION("""COMPUTED_VALUE"""),"Mexico")</f>
        <v>Mexico</v>
      </c>
      <c r="E8" s="1" t="str">
        <f>IFERROR(__xludf.DUMMYFUNCTION("""COMPUTED_VALUE"""),"Latam")</f>
        <v>Latam</v>
      </c>
      <c r="F8" s="1" t="str">
        <f>IFERROR(__xludf.DUMMYFUNCTION("""COMPUTED_VALUE"""),"Y")</f>
        <v>Y</v>
      </c>
      <c r="G8" s="1" t="str">
        <f>IFERROR(__xludf.DUMMYFUNCTION("""COMPUTED_VALUE"""),"Y")</f>
        <v>Y</v>
      </c>
      <c r="H8" s="1"/>
      <c r="I8" s="1"/>
      <c r="J8" s="1"/>
      <c r="K8" s="2" t="str">
        <f>IFERROR(__xludf.DUMMYFUNCTION("""COMPUTED_VALUE"""),"Latam")</f>
        <v>Latam</v>
      </c>
      <c r="L8" s="2" t="str">
        <f>IFERROR(__xludf.DUMMYFUNCTION("""COMPUTED_VALUE"""),"65k USD")</f>
        <v>65k USD</v>
      </c>
      <c r="M8" s="2" t="str">
        <f>IFERROR(__xludf.DUMMYFUNCTION("""COMPUTED_VALUE"""),"Agnostic")</f>
        <v>Agnostic</v>
      </c>
      <c r="N8" s="3"/>
      <c r="O8" s="2" t="str">
        <f>IFERROR(__xludf.DUMMYFUNCTION("""COMPUTED_VALUE"""),"Discover and back the world’s most talented entrepreneurs, help them create successful companies at scale, and build thriving global ecosystems.
500 Startups is the #1 most active seed fund in the world, with over 1,800+ investments all over the world. 
O"&amp;"ur Latin America operations are headquartered in Mexico City and we have invested in over 130+ Startups since 2011. 
We're not your ordinary VC.")</f>
        <v>Discover and back the world’s most talented entrepreneurs, help them create successful companies at scale, and build thriving global ecosystems.
500 Startups is the #1 most active seed fund in the world, with over 1,800+ investments all over the world. 
Our Latin America operations are headquartered in Mexico City and we have invested in over 130+ Startups since 2011. 
We're not your ordinary VC.</v>
      </c>
      <c r="P8" s="1"/>
      <c r="Q8" s="1"/>
      <c r="R8" s="1"/>
      <c r="S8" s="1"/>
      <c r="T8" s="1"/>
      <c r="U8" s="1"/>
      <c r="V8" s="1"/>
      <c r="W8" s="1"/>
      <c r="X8" s="1"/>
      <c r="Y8" s="1"/>
      <c r="Z8" s="1"/>
    </row>
    <row r="9" hidden="1">
      <c r="A9" s="1" t="str">
        <f>IFERROR(__xludf.DUMMYFUNCTION("""COMPUTED_VALUE"""),"85 Labs")</f>
        <v>85 Labs</v>
      </c>
      <c r="B9" s="1" t="str">
        <f>IFERROR(__xludf.DUMMYFUNCTION("""COMPUTED_VALUE"""),"Accelerator")</f>
        <v>Accelerator</v>
      </c>
      <c r="C9" s="1"/>
      <c r="D9" s="1"/>
      <c r="E9" s="1"/>
      <c r="F9" s="1"/>
      <c r="G9" s="1"/>
      <c r="H9" s="1"/>
      <c r="I9" s="1"/>
      <c r="J9" s="1"/>
      <c r="K9" s="2"/>
      <c r="L9" s="2"/>
      <c r="M9" s="2"/>
      <c r="N9" s="3"/>
      <c r="O9" s="2"/>
      <c r="P9" s="1"/>
      <c r="Q9" s="1"/>
      <c r="R9" s="1"/>
      <c r="S9" s="1"/>
      <c r="T9" s="1"/>
      <c r="U9" s="1"/>
      <c r="V9" s="1"/>
      <c r="W9" s="1"/>
      <c r="X9" s="1"/>
      <c r="Y9" s="1"/>
      <c r="Z9" s="1"/>
    </row>
    <row r="10">
      <c r="A10" s="1" t="str">
        <f>IFERROR(__xludf.DUMMYFUNCTION("""COMPUTED_VALUE"""),"AC Ventures / ArcaContinental")</f>
        <v>AC Ventures / ArcaContinental</v>
      </c>
      <c r="B10" s="1" t="str">
        <f>IFERROR(__xludf.DUMMYFUNCTION("""COMPUTED_VALUE"""),"Corporate Venture Fund")</f>
        <v>Corporate Venture Fund</v>
      </c>
      <c r="C10" s="7" t="str">
        <f>IFERROR(__xludf.DUMMYFUNCTION("""COMPUTED_VALUE"""),"http://arcacontal.com/")</f>
        <v>http://arcacontal.com/</v>
      </c>
      <c r="D10" s="1" t="str">
        <f>IFERROR(__xludf.DUMMYFUNCTION("""COMPUTED_VALUE"""),"Mexico")</f>
        <v>Mexico</v>
      </c>
      <c r="E10" s="1" t="str">
        <f>IFERROR(__xludf.DUMMYFUNCTION("""COMPUTED_VALUE"""),"Latam")</f>
        <v>Latam</v>
      </c>
      <c r="F10" s="1"/>
      <c r="G10" s="1" t="str">
        <f>IFERROR(__xludf.DUMMYFUNCTION("""COMPUTED_VALUE"""),"Y")</f>
        <v>Y</v>
      </c>
      <c r="H10" s="1" t="str">
        <f>IFERROR(__xludf.DUMMYFUNCTION("""COMPUTED_VALUE"""),"Y")</f>
        <v>Y</v>
      </c>
      <c r="I10" s="1" t="str">
        <f>IFERROR(__xludf.DUMMYFUNCTION("""COMPUTED_VALUE"""),"Y")</f>
        <v>Y</v>
      </c>
      <c r="J10" s="1"/>
      <c r="K10" s="2" t="str">
        <f>IFERROR(__xludf.DUMMYFUNCTION("""COMPUTED_VALUE"""),"Latam")</f>
        <v>Latam</v>
      </c>
      <c r="L10" s="2" t="str">
        <f>IFERROR(__xludf.DUMMYFUNCTION("""COMPUTED_VALUE"""),"1M-2M USD")</f>
        <v>1M-2M USD</v>
      </c>
      <c r="M10" s="2"/>
      <c r="N10" s="3"/>
      <c r="O10" s="2" t="str">
        <f>IFERROR(__xludf.DUMMYFUNCTION("""COMPUTED_VALUE"""),"Venture arm of Arca Continental")</f>
        <v>Venture arm of Arca Continental</v>
      </c>
      <c r="P10" s="1" t="str">
        <f>IFERROR(__xludf.DUMMYFUNCTION("""COMPUTED_VALUE"""),"Investing")</f>
        <v>Investing</v>
      </c>
      <c r="Q10" s="1"/>
      <c r="R10" s="1"/>
      <c r="S10" s="1"/>
      <c r="T10" s="1"/>
      <c r="U10" s="1"/>
      <c r="V10" s="1"/>
      <c r="W10" s="1"/>
      <c r="X10" s="1"/>
      <c r="Y10" s="1"/>
      <c r="Z10" s="1"/>
    </row>
    <row r="11">
      <c r="A11" s="1" t="str">
        <f>IFERROR(__xludf.DUMMYFUNCTION("""COMPUTED_VALUE"""),"Accede")</f>
        <v>Accede</v>
      </c>
      <c r="B11" s="1" t="str">
        <f>IFERROR(__xludf.DUMMYFUNCTION("""COMPUTED_VALUE"""),"Accelerator")</f>
        <v>Accelerator</v>
      </c>
      <c r="C11" s="7" t="str">
        <f>IFERROR(__xludf.DUMMYFUNCTION("""COMPUTED_VALUE"""),"https://www.accede.net/")</f>
        <v>https://www.accede.net/</v>
      </c>
      <c r="D11" s="1" t="str">
        <f>IFERROR(__xludf.DUMMYFUNCTION("""COMPUTED_VALUE"""),"Venezuela")</f>
        <v>Venezuela</v>
      </c>
      <c r="E11" s="1" t="str">
        <f>IFERROR(__xludf.DUMMYFUNCTION("""COMPUTED_VALUE"""),"Venezuela")</f>
        <v>Venezuela</v>
      </c>
      <c r="F11" s="1"/>
      <c r="G11" s="1"/>
      <c r="H11" s="1"/>
      <c r="I11" s="1"/>
      <c r="J11" s="1"/>
      <c r="K11" s="2" t="str">
        <f>IFERROR(__xludf.DUMMYFUNCTION("""COMPUTED_VALUE"""),"Venezuela")</f>
        <v>Venezuela</v>
      </c>
      <c r="L11" s="2"/>
      <c r="M11" s="2"/>
      <c r="N11" s="3"/>
      <c r="O11" s="2" t="str">
        <f>IFERROR(__xludf.DUMMYFUNCTION("""COMPUTED_VALUE"""),"Accede is an accelerator for startups that use exponential technologies to improve health, education and economic empowerment under the philosophy of the common good.")</f>
        <v>Accede is an accelerator for startups that use exponential technologies to improve health, education and economic empowerment under the philosophy of the common good.</v>
      </c>
      <c r="P11" s="1" t="str">
        <f>IFERROR(__xludf.DUMMYFUNCTION("""COMPUTED_VALUE"""),"??")</f>
        <v>??</v>
      </c>
      <c r="Q11" s="1"/>
      <c r="R11" s="1"/>
      <c r="S11" s="1"/>
      <c r="T11" s="1"/>
      <c r="U11" s="1"/>
      <c r="V11" s="1"/>
      <c r="W11" s="1"/>
      <c r="X11" s="1"/>
      <c r="Y11" s="1"/>
      <c r="Z11" s="1"/>
    </row>
    <row r="12">
      <c r="A12" s="1" t="str">
        <f>IFERROR(__xludf.DUMMYFUNCTION("""COMPUTED_VALUE"""),"Accel")</f>
        <v>Accel</v>
      </c>
      <c r="B12" s="1" t="str">
        <f>IFERROR(__xludf.DUMMYFUNCTION("""COMPUTED_VALUE"""),"Venture Capital Fund")</f>
        <v>Venture Capital Fund</v>
      </c>
      <c r="C12" s="7" t="str">
        <f>IFERROR(__xludf.DUMMYFUNCTION("""COMPUTED_VALUE"""),"https://www.accel.com/")</f>
        <v>https://www.accel.com/</v>
      </c>
      <c r="D12" s="1" t="str">
        <f>IFERROR(__xludf.DUMMYFUNCTION("""COMPUTED_VALUE"""),"United States of America")</f>
        <v>United States of America</v>
      </c>
      <c r="E12" s="1"/>
      <c r="F12" s="1"/>
      <c r="G12" s="1"/>
      <c r="H12" s="1"/>
      <c r="I12" s="1"/>
      <c r="J12" s="1"/>
      <c r="K12" s="2"/>
      <c r="L12" s="2"/>
      <c r="M12" s="2"/>
      <c r="N12" s="3"/>
      <c r="O12" s="2" t="str">
        <f>IFERROR(__xludf.DUMMYFUNCTION("""COMPUTED_VALUE"""),"Accel is an early and growth-stage venture capital firm that helps a global community of entrepreneurs.")</f>
        <v>Accel is an early and growth-stage venture capital firm that helps a global community of entrepreneurs.</v>
      </c>
      <c r="P12" s="1"/>
      <c r="Q12" s="1"/>
      <c r="R12" s="1"/>
      <c r="S12" s="1"/>
      <c r="T12" s="1"/>
      <c r="U12" s="1"/>
      <c r="V12" s="1"/>
      <c r="W12" s="1"/>
      <c r="X12" s="1"/>
      <c r="Y12" s="1"/>
      <c r="Z12" s="1"/>
    </row>
    <row r="13">
      <c r="A13" s="1" t="str">
        <f>IFERROR(__xludf.DUMMYFUNCTION("""COMPUTED_VALUE"""),"Accion")</f>
        <v>Accion</v>
      </c>
      <c r="B13" s="1" t="str">
        <f>IFERROR(__xludf.DUMMYFUNCTION("""COMPUTED_VALUE"""),"Private Equity Firm")</f>
        <v>Private Equity Firm</v>
      </c>
      <c r="C13" s="7" t="str">
        <f>IFERROR(__xludf.DUMMYFUNCTION("""COMPUTED_VALUE"""),"https://www.accion.org/")</f>
        <v>https://www.accion.org/</v>
      </c>
      <c r="D13" s="1" t="str">
        <f>IFERROR(__xludf.DUMMYFUNCTION("""COMPUTED_VALUE"""),"United States of America")</f>
        <v>United States of America</v>
      </c>
      <c r="E13" s="1" t="str">
        <f>IFERROR(__xludf.DUMMYFUNCTION("""COMPUTED_VALUE"""),"Global")</f>
        <v>Global</v>
      </c>
      <c r="F13" s="1"/>
      <c r="G13" s="1" t="str">
        <f>IFERROR(__xludf.DUMMYFUNCTION("""COMPUTED_VALUE"""),"Y")</f>
        <v>Y</v>
      </c>
      <c r="H13" s="1" t="str">
        <f>IFERROR(__xludf.DUMMYFUNCTION("""COMPUTED_VALUE"""),"Y")</f>
        <v>Y</v>
      </c>
      <c r="I13" s="1" t="str">
        <f>IFERROR(__xludf.DUMMYFUNCTION("""COMPUTED_VALUE"""),"Y")</f>
        <v>Y</v>
      </c>
      <c r="J13" s="1"/>
      <c r="K13" s="2" t="str">
        <f>IFERROR(__xludf.DUMMYFUNCTION("""COMPUTED_VALUE"""),"Global")</f>
        <v>Global</v>
      </c>
      <c r="L13" s="2"/>
      <c r="M13" s="2"/>
      <c r="N13" s="3"/>
      <c r="O13" s="2" t="str">
        <f>IFERROR(__xludf.DUMMYFUNCTION("""COMPUTED_VALUE"""),"Accion is a global nonprofit committed to creating a financially inclusive world, with a pioneering legacy in microfinance and fintech impact investing. We catalyze financial service providers to deliver high-quality, affordable solutions at scale for the"&amp;" three billion people who are left out of — or poorly served by — the financial sector. For more than 50 years, Accion has helped tens of millions of people through our work with more than 110 partners in 50 countries.")</f>
        <v>Accion is a global nonprofit committed to creating a financially inclusive world, with a pioneering legacy in microfinance and fintech impact investing. We catalyze financial service providers to deliver high-quality, affordable solutions at scale for the three billion people who are left out of — or poorly served by — the financial sector. For more than 50 years, Accion has helped tens of millions of people through our work with more than 110 partners in 50 countries.</v>
      </c>
      <c r="P13" s="1" t="str">
        <f>IFERROR(__xludf.DUMMYFUNCTION("""COMPUTED_VALUE"""),"Investing")</f>
        <v>Investing</v>
      </c>
      <c r="Q13" s="1"/>
      <c r="R13" s="1"/>
      <c r="S13" s="1"/>
      <c r="T13" s="1"/>
      <c r="U13" s="1"/>
      <c r="V13" s="1"/>
      <c r="W13" s="1"/>
      <c r="X13" s="1"/>
      <c r="Y13" s="1"/>
      <c r="Z13" s="1"/>
    </row>
    <row r="14">
      <c r="A14" s="1" t="str">
        <f>IFERROR(__xludf.DUMMYFUNCTION("""COMPUTED_VALUE"""),"Banc of California")</f>
        <v>Banc of California</v>
      </c>
      <c r="B14" s="1" t="str">
        <f>IFERROR(__xludf.DUMMYFUNCTION("""COMPUTED_VALUE"""),"Bank holding company")</f>
        <v>Bank holding company</v>
      </c>
      <c r="C14" s="7" t="str">
        <f>IFERROR(__xludf.DUMMYFUNCTION("""COMPUTED_VALUE"""),"https://bancofcal.com/venture-banking/")</f>
        <v>https://bancofcal.com/venture-banking/</v>
      </c>
      <c r="D14" s="1" t="str">
        <f>IFERROR(__xludf.DUMMYFUNCTION("""COMPUTED_VALUE"""),"United States of America")</f>
        <v>United States of America</v>
      </c>
      <c r="E14" s="1"/>
      <c r="F14" s="1"/>
      <c r="G14" s="1"/>
      <c r="H14" s="1"/>
      <c r="I14" s="1"/>
      <c r="J14" s="1"/>
      <c r="K14" s="2"/>
      <c r="L14" s="2"/>
      <c r="M14" s="2"/>
      <c r="N14" s="3"/>
      <c r="O14" s="2" t="str">
        <f>IFERROR(__xludf.DUMMYFUNCTION("""COMPUTED_VALUE"""),"WE EMPOWER ENTREPRENEURS TO SUCCEED.
We help entrepreneurs like you from coast to coast. We provide high-touch service, quick turnarounds, transparent credit terms and tailored solutions. Rely on our expert guidance and resources so you can focus on growi"&amp;"ng your company.")</f>
        <v>WE EMPOWER ENTREPRENEURS TO SUCCEED.
We help entrepreneurs like you from coast to coast. We provide high-touch service, quick turnarounds, transparent credit terms and tailored solutions. Rely on our expert guidance and resources so you can focus on growing your company.</v>
      </c>
      <c r="P14" s="1"/>
      <c r="Q14" s="1"/>
      <c r="R14" s="1"/>
      <c r="S14" s="1"/>
      <c r="T14" s="1"/>
      <c r="U14" s="1"/>
      <c r="V14" s="1"/>
      <c r="W14" s="1"/>
      <c r="X14" s="1"/>
      <c r="Y14" s="1"/>
      <c r="Z14" s="1"/>
    </row>
    <row r="15">
      <c r="A15" s="1" t="str">
        <f>IFERROR(__xludf.DUMMYFUNCTION("""COMPUTED_VALUE"""),"Resilience VC")</f>
        <v>Resilience VC</v>
      </c>
      <c r="B15" s="1" t="str">
        <f>IFERROR(__xludf.DUMMYFUNCTION("""COMPUTED_VALUE"""),"Venture Capital Fund")</f>
        <v>Venture Capital Fund</v>
      </c>
      <c r="C15" s="7" t="str">
        <f>IFERROR(__xludf.DUMMYFUNCTION("""COMPUTED_VALUE"""),"https://www.resilience.vc/")</f>
        <v>https://www.resilience.vc/</v>
      </c>
      <c r="D15" s="1" t="str">
        <f>IFERROR(__xludf.DUMMYFUNCTION("""COMPUTED_VALUE"""),"United States of America")</f>
        <v>United States of America</v>
      </c>
      <c r="E15" s="1" t="str">
        <f>IFERROR(__xludf.DUMMYFUNCTION("""COMPUTED_VALUE"""),"United States of America")</f>
        <v>United States of America</v>
      </c>
      <c r="F15" s="1"/>
      <c r="G15" s="1" t="str">
        <f>IFERROR(__xludf.DUMMYFUNCTION("""COMPUTED_VALUE"""),"Y")</f>
        <v>Y</v>
      </c>
      <c r="H15" s="1" t="str">
        <f>IFERROR(__xludf.DUMMYFUNCTION("""COMPUTED_VALUE"""),"Y")</f>
        <v>Y</v>
      </c>
      <c r="I15" s="1" t="str">
        <f>IFERROR(__xludf.DUMMYFUNCTION("""COMPUTED_VALUE"""),"Y")</f>
        <v>Y</v>
      </c>
      <c r="J15" s="1"/>
      <c r="K15" s="2" t="str">
        <f>IFERROR(__xludf.DUMMYFUNCTION("""COMPUTED_VALUE"""),"United States of America")</f>
        <v>United States of America</v>
      </c>
      <c r="L15" s="2"/>
      <c r="M15" s="2"/>
      <c r="N15" s="3"/>
      <c r="O15" s="2" t="str">
        <f>IFERROR(__xludf.DUMMYFUNCTION("""COMPUTED_VALUE"""),"ResilienceVC is a venture firm investing in seed-stage embedded fintech startups that build resilience for users and deliver returns for investors.")</f>
        <v>ResilienceVC is a venture firm investing in seed-stage embedded fintech startups that build resilience for users and deliver returns for investors.</v>
      </c>
      <c r="P15" s="1" t="str">
        <f>IFERROR(__xludf.DUMMYFUNCTION("""COMPUTED_VALUE"""),"Investing")</f>
        <v>Investing</v>
      </c>
      <c r="Q15" s="1"/>
      <c r="R15" s="1"/>
      <c r="S15" s="1"/>
      <c r="T15" s="1"/>
      <c r="U15" s="1"/>
      <c r="V15" s="1"/>
      <c r="W15" s="1"/>
      <c r="X15" s="1"/>
      <c r="Y15" s="1"/>
      <c r="Z15" s="1"/>
    </row>
    <row r="16">
      <c r="A16" s="1" t="str">
        <f>IFERROR(__xludf.DUMMYFUNCTION("""COMPUTED_VALUE"""),"ACE")</f>
        <v>ACE</v>
      </c>
      <c r="B16" s="1" t="str">
        <f>IFERROR(__xludf.DUMMYFUNCTION("""COMPUTED_VALUE"""),"Accelerator")</f>
        <v>Accelerator</v>
      </c>
      <c r="C16" s="7" t="str">
        <f>IFERROR(__xludf.DUMMYFUNCTION("""COMPUTED_VALUE"""),"https://aceventures.com.br/")</f>
        <v>https://aceventures.com.br/</v>
      </c>
      <c r="D16" s="1" t="str">
        <f>IFERROR(__xludf.DUMMYFUNCTION("""COMPUTED_VALUE"""),"Brazil")</f>
        <v>Brazil</v>
      </c>
      <c r="E16" s="1" t="str">
        <f>IFERROR(__xludf.DUMMYFUNCTION("""COMPUTED_VALUE"""),"Brazil")</f>
        <v>Brazil</v>
      </c>
      <c r="F16" s="1" t="str">
        <f>IFERROR(__xludf.DUMMYFUNCTION("""COMPUTED_VALUE"""),"Y")</f>
        <v>Y</v>
      </c>
      <c r="G16" s="1" t="str">
        <f>IFERROR(__xludf.DUMMYFUNCTION("""COMPUTED_VALUE"""),"Y")</f>
        <v>Y</v>
      </c>
      <c r="H16" s="1"/>
      <c r="I16" s="1"/>
      <c r="J16" s="1"/>
      <c r="K16" s="2" t="str">
        <f>IFERROR(__xludf.DUMMYFUNCTION("""COMPUTED_VALUE"""),"Brazil")</f>
        <v>Brazil</v>
      </c>
      <c r="L16" s="2" t="str">
        <f>IFERROR(__xludf.DUMMYFUNCTION("""COMPUTED_VALUE"""),"35k USD (150k BRL)")</f>
        <v>35k USD (150k BRL)</v>
      </c>
      <c r="M16" s="2"/>
      <c r="N16" s="3"/>
      <c r="O16" s="2" t="str">
        <f>IFERROR(__xludf.DUMMYFUNCTION("""COMPUTED_VALUE"""),"ACE is a leader in the entrepreneurial ecosystem of Brazil. Since 2012 we have transformed big companies into more innovative, agile organizations, and startups into global businesses. ")</f>
        <v>ACE is a leader in the entrepreneurial ecosystem of Brazil. Since 2012 we have transformed big companies into more innovative, agile organizations, and startups into global businesses. </v>
      </c>
      <c r="P16" s="1" t="str">
        <f>IFERROR(__xludf.DUMMYFUNCTION("""COMPUTED_VALUE"""),"Investing")</f>
        <v>Investing</v>
      </c>
      <c r="Q16" s="1"/>
      <c r="R16" s="1"/>
      <c r="S16" s="1"/>
      <c r="T16" s="1"/>
      <c r="U16" s="1"/>
      <c r="V16" s="1"/>
      <c r="W16" s="1"/>
      <c r="X16" s="1"/>
      <c r="Y16" s="1"/>
      <c r="Z16" s="1"/>
    </row>
    <row r="17" hidden="1">
      <c r="A17" s="1" t="str">
        <f>IFERROR(__xludf.DUMMYFUNCTION("""COMPUTED_VALUE"""),"Acelera MGTI")</f>
        <v>Acelera MGTI</v>
      </c>
      <c r="B17" s="1" t="str">
        <f>IFERROR(__xludf.DUMMYFUNCTION("""COMPUTED_VALUE"""),"Accelerator")</f>
        <v>Accelerator</v>
      </c>
      <c r="C17" s="1"/>
      <c r="D17" s="1" t="str">
        <f>IFERROR(__xludf.DUMMYFUNCTION("""COMPUTED_VALUE"""),"Brazil")</f>
        <v>Brazil</v>
      </c>
      <c r="E17" s="1" t="str">
        <f>IFERROR(__xludf.DUMMYFUNCTION("""COMPUTED_VALUE"""),"Brazil")</f>
        <v>Brazil</v>
      </c>
      <c r="F17" s="1"/>
      <c r="G17" s="1"/>
      <c r="H17" s="1"/>
      <c r="I17" s="1"/>
      <c r="J17" s="1"/>
      <c r="K17" s="8" t="str">
        <f>IFERROR(__xludf.DUMMYFUNCTION("""COMPUTED_VALUE"""),"https://www.linkedin.com/company/acelera-mgti/")</f>
        <v>https://www.linkedin.com/company/acelera-mgti/</v>
      </c>
      <c r="L17" s="2"/>
      <c r="M17" s="2"/>
      <c r="N17" s="3"/>
      <c r="O17" s="2"/>
      <c r="P17" s="1"/>
      <c r="Q17" s="1"/>
      <c r="R17" s="1"/>
      <c r="S17" s="1"/>
      <c r="T17" s="1"/>
      <c r="U17" s="1"/>
      <c r="V17" s="1"/>
      <c r="W17" s="1"/>
      <c r="X17" s="1"/>
      <c r="Y17" s="1"/>
      <c r="Z17" s="1"/>
    </row>
    <row r="18">
      <c r="A18" s="1" t="str">
        <f>IFERROR(__xludf.DUMMYFUNCTION("""COMPUTED_VALUE"""),"Acelera Partners")</f>
        <v>Acelera Partners</v>
      </c>
      <c r="B18" s="1" t="str">
        <f>IFERROR(__xludf.DUMMYFUNCTION("""COMPUTED_VALUE"""),"Accelerator")</f>
        <v>Accelerator</v>
      </c>
      <c r="C18" s="7" t="str">
        <f>IFERROR(__xludf.DUMMYFUNCTION("""COMPUTED_VALUE"""),"http://acelerapartners.com/")</f>
        <v>http://acelerapartners.com/</v>
      </c>
      <c r="D18" s="1" t="str">
        <f>IFERROR(__xludf.DUMMYFUNCTION("""COMPUTED_VALUE"""),"Brazil")</f>
        <v>Brazil</v>
      </c>
      <c r="E18" s="1" t="str">
        <f>IFERROR(__xludf.DUMMYFUNCTION("""COMPUTED_VALUE"""),"Brazil")</f>
        <v>Brazil</v>
      </c>
      <c r="F18" s="1"/>
      <c r="G18" s="1"/>
      <c r="H18" s="1"/>
      <c r="I18" s="1"/>
      <c r="J18" s="1"/>
      <c r="K18" s="2" t="str">
        <f>IFERROR(__xludf.DUMMYFUNCTION("""COMPUTED_VALUE"""),"Brazil")</f>
        <v>Brazil</v>
      </c>
      <c r="L18" s="2"/>
      <c r="M18" s="2"/>
      <c r="N18" s="3"/>
      <c r="O18" s="2" t="str">
        <f>IFERROR(__xludf.DUMMYFUNCTION("""COMPUTED_VALUE"""),"Acelera Partners is a network of accelerator technology start-ups, official partner of Microsoft Ventures in Brazil.")</f>
        <v>Acelera Partners is a network of accelerator technology start-ups, official partner of Microsoft Ventures in Brazil.</v>
      </c>
      <c r="P18" s="1" t="str">
        <f>IFERROR(__xludf.DUMMYFUNCTION("""COMPUTED_VALUE"""),"Closed")</f>
        <v>Closed</v>
      </c>
      <c r="Q18" s="1"/>
      <c r="R18" s="1"/>
      <c r="S18" s="1"/>
      <c r="T18" s="1"/>
      <c r="U18" s="1"/>
      <c r="V18" s="1"/>
      <c r="W18" s="1"/>
      <c r="X18" s="1"/>
      <c r="Y18" s="1"/>
      <c r="Z18" s="1"/>
    </row>
    <row r="19">
      <c r="A19" s="1" t="str">
        <f>IFERROR(__xludf.DUMMYFUNCTION("""COMPUTED_VALUE"""),"Synthase Impact Ventures")</f>
        <v>Synthase Impact Ventures</v>
      </c>
      <c r="B19" s="1" t="str">
        <f>IFERROR(__xludf.DUMMYFUNCTION("""COMPUTED_VALUE"""),"Accelerator")</f>
        <v>Accelerator</v>
      </c>
      <c r="C19" s="7" t="str">
        <f>IFERROR(__xludf.DUMMYFUNCTION("""COMPUTED_VALUE"""),"https://synthase.ventures/")</f>
        <v>https://synthase.ventures/</v>
      </c>
      <c r="D19" s="1" t="str">
        <f>IFERROR(__xludf.DUMMYFUNCTION("""COMPUTED_VALUE"""),"Brazil")</f>
        <v>Brazil</v>
      </c>
      <c r="E19" s="1" t="str">
        <f>IFERROR(__xludf.DUMMYFUNCTION("""COMPUTED_VALUE"""),"Brazil")</f>
        <v>Brazil</v>
      </c>
      <c r="F19" s="1"/>
      <c r="G19" s="1"/>
      <c r="H19" s="1"/>
      <c r="I19" s="1"/>
      <c r="J19" s="1"/>
      <c r="K19" s="2" t="str">
        <f>IFERROR(__xludf.DUMMYFUNCTION("""COMPUTED_VALUE"""),"Brazil")</f>
        <v>Brazil</v>
      </c>
      <c r="L19" s="2"/>
      <c r="M19" s="2"/>
      <c r="N19" s="3"/>
      <c r="O19" s="2" t="str">
        <f>IFERROR(__xludf.DUMMYFUNCTION("""COMPUTED_VALUE"""),"We're a group of experienced individuals that invest capital, business expertise and network to, alongside with financial returns, generate true positive and significant impact on society.
We dedicate time and energy to find and help promising entrepreneu"&amp;"rs who have set-up tech-based businesses that address key Brazilian education, health, finance and environmental priorities, with proven initial success, but need mentoring, networking and investments to gain scale.")</f>
        <v>We're a group of experienced individuals that invest capital, business expertise and network to, alongside with financial returns, generate true positive and significant impact on society.
We dedicate time and energy to find and help promising entrepreneurs who have set-up tech-based businesses that address key Brazilian education, health, finance and environmental priorities, with proven initial success, but need mentoring, networking and investments to gain scale.</v>
      </c>
      <c r="P19" s="1"/>
      <c r="Q19" s="1"/>
      <c r="R19" s="1"/>
      <c r="S19" s="1"/>
      <c r="T19" s="1"/>
      <c r="U19" s="1"/>
      <c r="V19" s="1"/>
      <c r="W19" s="1"/>
      <c r="X19" s="1"/>
      <c r="Y19" s="1"/>
      <c r="Z19" s="1"/>
    </row>
    <row r="20">
      <c r="A20" s="1" t="str">
        <f>IFERROR(__xludf.DUMMYFUNCTION("""COMPUTED_VALUE"""),"Imagine Ventures")</f>
        <v>Imagine Ventures</v>
      </c>
      <c r="B20" s="1" t="str">
        <f>IFERROR(__xludf.DUMMYFUNCTION("""COMPUTED_VALUE"""),"Venture Capital Fund")</f>
        <v>Venture Capital Fund</v>
      </c>
      <c r="C20" s="7" t="str">
        <f>IFERROR(__xludf.DUMMYFUNCTION("""COMPUTED_VALUE"""),"https://imagineventures.tech/")</f>
        <v>https://imagineventures.tech/</v>
      </c>
      <c r="D20" s="1" t="str">
        <f>IFERROR(__xludf.DUMMYFUNCTION("""COMPUTED_VALUE"""),"Chile")</f>
        <v>Chile</v>
      </c>
      <c r="E20" s="1" t="str">
        <f>IFERROR(__xludf.DUMMYFUNCTION("""COMPUTED_VALUE"""),"Chile, Colombia, Mexico, Peru")</f>
        <v>Chile, Colombia, Mexico, Peru</v>
      </c>
      <c r="F20" s="1"/>
      <c r="G20" s="1"/>
      <c r="H20" s="1"/>
      <c r="I20" s="1"/>
      <c r="J20" s="1"/>
      <c r="K20" s="2" t="str">
        <f>IFERROR(__xludf.DUMMYFUNCTION("""COMPUTED_VALUE"""),"Chile, Colombia, Mexico, Peru")</f>
        <v>Chile, Colombia, Mexico, Peru</v>
      </c>
      <c r="L20" s="2"/>
      <c r="M20" s="2"/>
      <c r="N20" s="3"/>
      <c r="O20" s="2" t="str">
        <f>IFERROR(__xludf.DUMMYFUNCTION("""COMPUTED_VALUE"""),"Imagine Ventures es un fondo de venture capital enfocado en invertir en startups latinoamericanas en etapas pre-seed y seed que estén resolviendo los grandes desafíos del presente y del futuro. Buscamos generar retorno financiero e impacto real, impulsand"&amp;"o soluciones en áreas como sostenibilidad, inclusión, tecnologías disruptivas, fintech, salud, futuro del trabajo y transformación digital. Aportamos más que capital: acompañamos a las compañías en su crecimiento estratégico, conectándolas con corporacion"&amp;"es, mentores, redes internacionales y oportunidades comerciales. Nuestra experiencia de más de una década impulsando innovación en la región —con más de 700 startups evaluadas y más de una docena de inversiones en 4 países— nos permite ser un socio activo"&amp;" y comprometido en cada etapa del crecimiento. Creemos en el poder del venture capital como herramienta para construir una Latinoamérica más competitiva, sostenible e innovadora. 🚀")</f>
        <v>Imagine Ventures es un fondo de venture capital enfocado en invertir en startups latinoamericanas en etapas pre-seed y seed que estén resolviendo los grandes desafíos del presente y del futuro. Buscamos generar retorno financiero e impacto real, impulsando soluciones en áreas como sostenibilidad, inclusión, tecnologías disruptivas, fintech, salud, futuro del trabajo y transformación digital. Aportamos más que capital: acompañamos a las compañías en su crecimiento estratégico, conectándolas con corporaciones, mentores, redes internacionales y oportunidades comerciales. Nuestra experiencia de más de una década impulsando innovación en la región —con más de 700 startups evaluadas y más de una docena de inversiones en 4 países— nos permite ser un socio activo y comprometido en cada etapa del crecimiento. Creemos en el poder del venture capital como herramienta para construir una Latinoamérica más competitiva, sostenible e innovadora. 🚀</v>
      </c>
      <c r="P20" s="1" t="str">
        <f>IFERROR(__xludf.DUMMYFUNCTION("""COMPUTED_VALUE"""),"??")</f>
        <v>??</v>
      </c>
      <c r="Q20" s="1"/>
      <c r="R20" s="1"/>
      <c r="S20" s="1"/>
      <c r="T20" s="1"/>
      <c r="U20" s="1"/>
      <c r="V20" s="1"/>
      <c r="W20" s="1"/>
      <c r="X20" s="1"/>
      <c r="Y20" s="1"/>
      <c r="Z20" s="1"/>
    </row>
    <row r="21">
      <c r="A21" s="1" t="str">
        <f>IFERROR(__xludf.DUMMYFUNCTION("""COMPUTED_VALUE"""),"ACON Investments")</f>
        <v>ACON Investments</v>
      </c>
      <c r="B21" s="1" t="str">
        <f>IFERROR(__xludf.DUMMYFUNCTION("""COMPUTED_VALUE"""),"Private Equity Firm")</f>
        <v>Private Equity Firm</v>
      </c>
      <c r="C21" s="7" t="str">
        <f>IFERROR(__xludf.DUMMYFUNCTION("""COMPUTED_VALUE"""),"https://aconinvestments.com/")</f>
        <v>https://aconinvestments.com/</v>
      </c>
      <c r="D21" s="1" t="str">
        <f>IFERROR(__xludf.DUMMYFUNCTION("""COMPUTED_VALUE"""),"United States of America")</f>
        <v>United States of America</v>
      </c>
      <c r="E21" s="1" t="str">
        <f>IFERROR(__xludf.DUMMYFUNCTION("""COMPUTED_VALUE"""),"Americas, Europe")</f>
        <v>Americas, Europe</v>
      </c>
      <c r="F21" s="1"/>
      <c r="G21" s="1"/>
      <c r="H21" s="1" t="str">
        <f>IFERROR(__xludf.DUMMYFUNCTION("""COMPUTED_VALUE"""),"Y")</f>
        <v>Y</v>
      </c>
      <c r="I21" s="1"/>
      <c r="J21" s="1"/>
      <c r="K21" s="2" t="str">
        <f>IFERROR(__xludf.DUMMYFUNCTION("""COMPUTED_VALUE"""),"Americas, Europe")</f>
        <v>Americas, Europe</v>
      </c>
      <c r="L21" s="2"/>
      <c r="M21" s="2" t="str">
        <f>IFERROR(__xludf.DUMMYFUNCTION("""COMPUTED_VALUE"""),"Energy, Finance, Health, Industry, Media, Consumer")</f>
        <v>Energy, Finance, Health, Industry, Media, Consumer</v>
      </c>
      <c r="N21" s="3"/>
      <c r="O21" s="2" t="str">
        <f>IFERROR(__xludf.DUMMYFUNCTION("""COMPUTED_VALUE"""),"ACON Investments is a Washington, DC-based international private equity investment firm that manages private equity funds and special purpose partnerships that make investments in the United States and Latin America. Founded in 1996, ACON and its principa"&amp;"ls have managed approximately $5.5 billion of capital. ACON has professionals in Washington, DC, Los Angeles, São Paulo, Mexico City, and Bogotá.")</f>
        <v>ACON Investments is a Washington, DC-based international private equity investment firm that manages private equity funds and special purpose partnerships that make investments in the United States and Latin America. Founded in 1996, ACON and its principals have managed approximately $5.5 billion of capital. ACON has professionals in Washington, DC, Los Angeles, São Paulo, Mexico City, and Bogotá.</v>
      </c>
      <c r="P21" s="1" t="str">
        <f>IFERROR(__xludf.DUMMYFUNCTION("""COMPUTED_VALUE"""),"Investing")</f>
        <v>Investing</v>
      </c>
      <c r="Q21" s="1"/>
      <c r="R21" s="1"/>
      <c r="S21" s="1"/>
      <c r="T21" s="1"/>
      <c r="U21" s="1"/>
      <c r="V21" s="1"/>
      <c r="W21" s="1"/>
      <c r="X21" s="1"/>
      <c r="Y21" s="1"/>
      <c r="Z21" s="1"/>
    </row>
    <row r="22">
      <c r="A22" s="1" t="str">
        <f>IFERROR(__xludf.DUMMYFUNCTION("""COMPUTED_VALUE"""),"Addem Capital")</f>
        <v>Addem Capital</v>
      </c>
      <c r="B22" s="1" t="str">
        <f>IFERROR(__xludf.DUMMYFUNCTION("""COMPUTED_VALUE"""),"Financial Services")</f>
        <v>Financial Services</v>
      </c>
      <c r="C22" s="7" t="str">
        <f>IFERROR(__xludf.DUMMYFUNCTION("""COMPUTED_VALUE"""),"https://www.addem-capital.com/")</f>
        <v>https://www.addem-capital.com/</v>
      </c>
      <c r="D22" s="1"/>
      <c r="E22" s="1"/>
      <c r="F22" s="1"/>
      <c r="G22" s="1"/>
      <c r="H22" s="1"/>
      <c r="I22" s="1"/>
      <c r="J22" s="1"/>
      <c r="K22" s="2"/>
      <c r="L22" s="2"/>
      <c r="M22" s="2"/>
      <c r="N22" s="3"/>
      <c r="O22" s="2" t="str">
        <f>IFERROR(__xludf.DUMMYFUNCTION("""COMPUTED_VALUE"""),"Addem Capital, nace de la raíz etimológica de la palabra acceso, posicionándose como el fondo de inversión que se caracteriza por traducir en acceso lo que mal entendemos como riesgo, entender la cultura desde raíz, permite tropicalizar la manera de inver"&amp;"tir. 
Nuestra misión es que en todo Latinoamérica el acceso a financiamiento sea el motor y no el impedimento.")</f>
        <v>Addem Capital, nace de la raíz etimológica de la palabra acceso, posicionándose como el fondo de inversión que se caracteriza por traducir en acceso lo que mal entendemos como riesgo, entender la cultura desde raíz, permite tropicalizar la manera de invertir. 
Nuestra misión es que en todo Latinoamérica el acceso a financiamiento sea el motor y no el impedimento.</v>
      </c>
      <c r="P22" s="1"/>
      <c r="Q22" s="1"/>
      <c r="R22" s="1"/>
      <c r="S22" s="1"/>
      <c r="T22" s="1"/>
      <c r="U22" s="1"/>
      <c r="V22" s="1"/>
      <c r="W22" s="1"/>
      <c r="X22" s="1"/>
      <c r="Y22" s="1"/>
      <c r="Z22" s="1"/>
    </row>
    <row r="23">
      <c r="A23" s="1" t="str">
        <f>IFERROR(__xludf.DUMMYFUNCTION("""COMPUTED_VALUE"""),"Deetken Impact")</f>
        <v>Deetken Impact</v>
      </c>
      <c r="B23" s="1" t="str">
        <f>IFERROR(__xludf.DUMMYFUNCTION("""COMPUTED_VALUE"""),"Fund of Funds")</f>
        <v>Fund of Funds</v>
      </c>
      <c r="C23" s="7" t="str">
        <f>IFERROR(__xludf.DUMMYFUNCTION("""COMPUTED_VALUE"""),"https://deetkenimpact.com/")</f>
        <v>https://deetkenimpact.com/</v>
      </c>
      <c r="D23" s="1" t="str">
        <f>IFERROR(__xludf.DUMMYFUNCTION("""COMPUTED_VALUE"""),"Canada")</f>
        <v>Canada</v>
      </c>
      <c r="E23" s="1" t="str">
        <f>IFERROR(__xludf.DUMMYFUNCTION("""COMPUTED_VALUE"""),"Mexico")</f>
        <v>Mexico</v>
      </c>
      <c r="F23" s="1"/>
      <c r="G23" s="1"/>
      <c r="H23" s="1" t="str">
        <f>IFERROR(__xludf.DUMMYFUNCTION("""COMPUTED_VALUE"""),"Y")</f>
        <v>Y</v>
      </c>
      <c r="I23" s="1"/>
      <c r="J23" s="1"/>
      <c r="K23" s="2" t="str">
        <f>IFERROR(__xludf.DUMMYFUNCTION("""COMPUTED_VALUE"""),"Mexico")</f>
        <v>Mexico</v>
      </c>
      <c r="L23" s="2"/>
      <c r="M23" s="2"/>
      <c r="N23" s="3"/>
      <c r="O23" s="2" t="str">
        <f>IFERROR(__xludf.DUMMYFUNCTION("""COMPUTED_VALUE"""),"Through the use of tailored financing alternatives, we support exceptional impact driven entrepreneurs who are able to create innovative, profitable and scalable business models to address the most pressing social and environmental challenges.")</f>
        <v>Through the use of tailored financing alternatives, we support exceptional impact driven entrepreneurs who are able to create innovative, profitable and scalable business models to address the most pressing social and environmental challenges.</v>
      </c>
      <c r="P23" s="1" t="str">
        <f>IFERROR(__xludf.DUMMYFUNCTION("""COMPUTED_VALUE"""),"Investing")</f>
        <v>Investing</v>
      </c>
      <c r="Q23" s="1"/>
      <c r="R23" s="1"/>
      <c r="S23" s="1"/>
      <c r="T23" s="1"/>
      <c r="U23" s="1"/>
      <c r="V23" s="1"/>
      <c r="W23" s="1"/>
      <c r="X23" s="1"/>
      <c r="Y23" s="1"/>
      <c r="Z23" s="1"/>
    </row>
    <row r="24">
      <c r="A24" s="1" t="str">
        <f>IFERROR(__xludf.DUMMYFUNCTION("""COMPUTED_VALUE"""),"30N Ventures")</f>
        <v>30N Ventures</v>
      </c>
      <c r="B24" s="1" t="str">
        <f>IFERROR(__xludf.DUMMYFUNCTION("""COMPUTED_VALUE"""),"Venture Capital Fund")</f>
        <v>Venture Capital Fund</v>
      </c>
      <c r="C24" s="7" t="str">
        <f>IFERROR(__xludf.DUMMYFUNCTION("""COMPUTED_VALUE"""),"https://www.30n.vc/")</f>
        <v>https://www.30n.vc/</v>
      </c>
      <c r="D24" s="1" t="str">
        <f>IFERROR(__xludf.DUMMYFUNCTION("""COMPUTED_VALUE"""),"Mexico")</f>
        <v>Mexico</v>
      </c>
      <c r="E24" s="1" t="str">
        <f>IFERROR(__xludf.DUMMYFUNCTION("""COMPUTED_VALUE"""),"Latam")</f>
        <v>Latam</v>
      </c>
      <c r="F24" s="1"/>
      <c r="G24" s="1"/>
      <c r="H24" s="1" t="str">
        <f>IFERROR(__xludf.DUMMYFUNCTION("""COMPUTED_VALUE"""),"Y")</f>
        <v>Y</v>
      </c>
      <c r="I24" s="1"/>
      <c r="J24" s="1"/>
      <c r="K24" s="2" t="str">
        <f>IFERROR(__xludf.DUMMYFUNCTION("""COMPUTED_VALUE"""),"Latam")</f>
        <v>Latam</v>
      </c>
      <c r="L24" s="2" t="str">
        <f>IFERROR(__xludf.DUMMYFUNCTION("""COMPUTED_VALUE"""),"2M USD")</f>
        <v>2M USD</v>
      </c>
      <c r="M24" s="2"/>
      <c r="N24" s="3"/>
      <c r="O24" s="2" t="str">
        <f>IFERROR(__xludf.DUMMYFUNCTION("""COMPUTED_VALUE"""),"30N Ventures is an investment firm that backs top-tier entrepreneurs in fast-growing economies of emerging markets by blending and integrating VC's entrepreneurial acumen with PE's liquidity strategies. With presence in Mexico City, Santiago, Miami, and P"&amp;"aris, the firm aims to find the best talents in Fintech, Foodtech, and Retail (marketplaces, e-commerce and logistics). The fund will invest from Late Seed to Pre-Series B, focusing on exits and market consolidation for its portfolio through its own M&amp;A a"&amp;"rea. With the experience of its partners and the support of its network of experts, 30N Ventures positions itself as a strategic fund for international expansion and cross-border growth of companies seeking to strengthen their operations at a regional lev"&amp;"el.")</f>
        <v>30N Ventures is an investment firm that backs top-tier entrepreneurs in fast-growing economies of emerging markets by blending and integrating VC's entrepreneurial acumen with PE's liquidity strategies. With presence in Mexico City, Santiago, Miami, and Paris, the firm aims to find the best talents in Fintech, Foodtech, and Retail (marketplaces, e-commerce and logistics). The fund will invest from Late Seed to Pre-Series B, focusing on exits and market consolidation for its portfolio through its own M&amp;A area. With the experience of its partners and the support of its network of experts, 30N Ventures positions itself as a strategic fund for international expansion and cross-border growth of companies seeking to strengthen their operations at a regional level.</v>
      </c>
      <c r="P24" s="1" t="str">
        <f>IFERROR(__xludf.DUMMYFUNCTION("""COMPUTED_VALUE"""),"Investing")</f>
        <v>Investing</v>
      </c>
      <c r="Q24" s="1"/>
      <c r="R24" s="1"/>
      <c r="S24" s="1"/>
      <c r="T24" s="1"/>
      <c r="U24" s="1"/>
      <c r="V24" s="1"/>
      <c r="W24" s="1"/>
      <c r="X24" s="1"/>
      <c r="Y24" s="1"/>
      <c r="Z24" s="1"/>
    </row>
    <row r="25">
      <c r="A25" s="1" t="str">
        <f>IFERROR(__xludf.DUMMYFUNCTION("""COMPUTED_VALUE"""),"Agave Lab")</f>
        <v>Agave Lab</v>
      </c>
      <c r="B25" s="1" t="str">
        <f>IFERROR(__xludf.DUMMYFUNCTION("""COMPUTED_VALUE"""),"Venture Builder")</f>
        <v>Venture Builder</v>
      </c>
      <c r="C25" s="7" t="str">
        <f>IFERROR(__xludf.DUMMYFUNCTION("""COMPUTED_VALUE"""),"http://www.agavelab.com/")</f>
        <v>http://www.agavelab.com/</v>
      </c>
      <c r="D25" s="1" t="str">
        <f>IFERROR(__xludf.DUMMYFUNCTION("""COMPUTED_VALUE"""),"Mexico")</f>
        <v>Mexico</v>
      </c>
      <c r="E25" s="1" t="str">
        <f>IFERROR(__xludf.DUMMYFUNCTION("""COMPUTED_VALUE"""),"Mexico")</f>
        <v>Mexico</v>
      </c>
      <c r="F25" s="1" t="str">
        <f>IFERROR(__xludf.DUMMYFUNCTION("""COMPUTED_VALUE"""),"Y")</f>
        <v>Y</v>
      </c>
      <c r="G25" s="1" t="str">
        <f>IFERROR(__xludf.DUMMYFUNCTION("""COMPUTED_VALUE"""),"Y")</f>
        <v>Y</v>
      </c>
      <c r="H25" s="1"/>
      <c r="I25" s="1"/>
      <c r="J25" s="1"/>
      <c r="K25" s="2" t="str">
        <f>IFERROR(__xludf.DUMMYFUNCTION("""COMPUTED_VALUE"""),"Mexico")</f>
        <v>Mexico</v>
      </c>
      <c r="L25" s="2"/>
      <c r="M25" s="2"/>
      <c r="N25" s="3"/>
      <c r="O25" s="2" t="str">
        <f>IFERROR(__xludf.DUMMYFUNCTION("""COMPUTED_VALUE"""),"Our Startup Factory model is the first of its kind. We don’t wait for great startups to find us. Instead we look for an obvious inefficiency in the market, then build and fund a company to address it.")</f>
        <v>Our Startup Factory model is the first of its kind. We don’t wait for great startups to find us. Instead we look for an obvious inefficiency in the market, then build and fund a company to address it.</v>
      </c>
      <c r="P25" s="1"/>
      <c r="Q25" s="1"/>
      <c r="R25" s="1"/>
      <c r="S25" s="1"/>
      <c r="T25" s="1"/>
      <c r="U25" s="1"/>
      <c r="V25" s="1"/>
      <c r="W25" s="1"/>
      <c r="X25" s="1"/>
      <c r="Y25" s="1"/>
      <c r="Z25" s="1"/>
    </row>
    <row r="26">
      <c r="A26" s="1" t="str">
        <f>IFERROR(__xludf.DUMMYFUNCTION("""COMPUTED_VALUE"""),"Alacrity")</f>
        <v>Alacrity</v>
      </c>
      <c r="B26" s="1" t="str">
        <f>IFERROR(__xludf.DUMMYFUNCTION("""COMPUTED_VALUE"""),"Venture Capital Fund")</f>
        <v>Venture Capital Fund</v>
      </c>
      <c r="C26" s="7" t="str">
        <f>IFERROR(__xludf.DUMMYFUNCTION("""COMPUTED_VALUE"""),"https://www.alacritymexico.com/")</f>
        <v>https://www.alacritymexico.com/</v>
      </c>
      <c r="D26" s="1" t="str">
        <f>IFERROR(__xludf.DUMMYFUNCTION("""COMPUTED_VALUE"""),"Canada")</f>
        <v>Canada</v>
      </c>
      <c r="E26" s="1" t="str">
        <f>IFERROR(__xludf.DUMMYFUNCTION("""COMPUTED_VALUE"""),"Mexico")</f>
        <v>Mexico</v>
      </c>
      <c r="F26" s="1" t="str">
        <f>IFERROR(__xludf.DUMMYFUNCTION("""COMPUTED_VALUE"""),"Y")</f>
        <v>Y</v>
      </c>
      <c r="G26" s="1"/>
      <c r="H26" s="1"/>
      <c r="I26" s="1"/>
      <c r="J26" s="1"/>
      <c r="K26" s="2" t="str">
        <f>IFERROR(__xludf.DUMMYFUNCTION("""COMPUTED_VALUE"""),"Mexico")</f>
        <v>Mexico</v>
      </c>
      <c r="L26" s="2"/>
      <c r="M26" s="2" t="str">
        <f>IFERROR(__xludf.DUMMYFUNCTION("""COMPUTED_VALUE"""),"Cloud, SaaS, IoT, Machine Learning")</f>
        <v>Cloud, SaaS, IoT, Machine Learning</v>
      </c>
      <c r="N26" s="3"/>
      <c r="O26" s="2" t="str">
        <f>IFERROR(__xludf.DUMMYFUNCTION("""COMPUTED_VALUE"""),"Part of the Alacrity Global initiative, Alacrity Mexico invests in idea and early stage opportunities in the Information and Communications Technology (“ICT”) industry and develops them in Mexico as seed‐stage portfolio companies.
We co-create, fund, men"&amp;"tor and help grow these technology start-ups, providing them with intellectual property, partnership, channel and customer opportunities through a broad ecosystem that dramatically improves the chances of success.")</f>
        <v>Part of the Alacrity Global initiative, Alacrity Mexico invests in idea and early stage opportunities in the Information and Communications Technology (“ICT”) industry and develops them in Mexico as seed‐stage portfolio companies.
We co-create, fund, mentor and help grow these technology start-ups, providing them with intellectual property, partnership, channel and customer opportunities through a broad ecosystem that dramatically improves the chances of success.</v>
      </c>
      <c r="P26" s="1" t="str">
        <f>IFERROR(__xludf.DUMMYFUNCTION("""COMPUTED_VALUE"""),"Investing")</f>
        <v>Investing</v>
      </c>
      <c r="Q26" s="1"/>
      <c r="R26" s="1"/>
      <c r="S26" s="1"/>
      <c r="T26" s="1"/>
      <c r="U26" s="1"/>
      <c r="V26" s="1"/>
      <c r="W26" s="1"/>
      <c r="X26" s="1"/>
      <c r="Y26" s="1"/>
      <c r="Z26" s="1"/>
    </row>
    <row r="27">
      <c r="A27" s="1" t="str">
        <f>IFERROR(__xludf.DUMMYFUNCTION("""COMPUTED_VALUE"""),"CVC Latam")</f>
        <v>CVC Latam</v>
      </c>
      <c r="B27" s="1" t="str">
        <f>IFERROR(__xludf.DUMMYFUNCTION("""COMPUTED_VALUE"""),"Venture Capital Fund")</f>
        <v>Venture Capital Fund</v>
      </c>
      <c r="C27" s="1"/>
      <c r="D27" s="1" t="str">
        <f>IFERROR(__xludf.DUMMYFUNCTION("""COMPUTED_VALUE"""),"Chile")</f>
        <v>Chile</v>
      </c>
      <c r="E27" s="1" t="str">
        <f>IFERROR(__xludf.DUMMYFUNCTION("""COMPUTED_VALUE"""),"Latam")</f>
        <v>Latam</v>
      </c>
      <c r="F27" s="1"/>
      <c r="G27" s="1"/>
      <c r="H27" s="1"/>
      <c r="I27" s="1"/>
      <c r="J27" s="1"/>
      <c r="K27" s="2" t="str">
        <f>IFERROR(__xludf.DUMMYFUNCTION("""COMPUTED_VALUE"""),"Latam")</f>
        <v>Latam</v>
      </c>
      <c r="L27" s="2"/>
      <c r="M27" s="2"/>
      <c r="N27" s="3"/>
      <c r="O27" s="2" t="str">
        <f>IFERROR(__xludf.DUMMYFUNCTION("""COMPUTED_VALUE"""),"Returns - We specialize in selling startups (exits), generating liquidity, and delivering attractive returns for both investors and founders.
Investments - Direct investment, VC fund structuring, and corporate venturing strategies – designed to drive gro"&amp;"wth and maximize returns.
Knowledge - We provide entrepreneurs and investors with essential knowledge and premium educational resources that unlock growth and accelerate success.")</f>
        <v>Returns - We specialize in selling startups (exits), generating liquidity, and delivering attractive returns for both investors and founders.
Investments - Direct investment, VC fund structuring, and corporate venturing strategies – designed to drive growth and maximize returns.
Knowledge - We provide entrepreneurs and investors with essential knowledge and premium educational resources that unlock growth and accelerate success.</v>
      </c>
      <c r="P27" s="1" t="str">
        <f>IFERROR(__xludf.DUMMYFUNCTION("""COMPUTED_VALUE"""),"??")</f>
        <v>??</v>
      </c>
      <c r="Q27" s="1"/>
      <c r="R27" s="1"/>
      <c r="S27" s="1"/>
      <c r="T27" s="1"/>
      <c r="U27" s="1"/>
      <c r="V27" s="1"/>
      <c r="W27" s="1"/>
      <c r="X27" s="1"/>
      <c r="Y27" s="1"/>
      <c r="Z27" s="1"/>
    </row>
    <row r="28">
      <c r="A28" s="1" t="str">
        <f>IFERROR(__xludf.DUMMYFUNCTION("""COMPUTED_VALUE"""),"Alaya Capital")</f>
        <v>Alaya Capital</v>
      </c>
      <c r="B28" s="1" t="str">
        <f>IFERROR(__xludf.DUMMYFUNCTION("""COMPUTED_VALUE"""),"Venture Capital Fund")</f>
        <v>Venture Capital Fund</v>
      </c>
      <c r="C28" s="7" t="str">
        <f>IFERROR(__xludf.DUMMYFUNCTION("""COMPUTED_VALUE"""),"https://alaya-capital.com/")</f>
        <v>https://alaya-capital.com/</v>
      </c>
      <c r="D28" s="1" t="str">
        <f>IFERROR(__xludf.DUMMYFUNCTION("""COMPUTED_VALUE"""),"Buenos Aires")</f>
        <v>Buenos Aires</v>
      </c>
      <c r="E28" s="1" t="str">
        <f>IFERROR(__xludf.DUMMYFUNCTION("""COMPUTED_VALUE"""),"Latam")</f>
        <v>Latam</v>
      </c>
      <c r="F28" s="1" t="str">
        <f>IFERROR(__xludf.DUMMYFUNCTION("""COMPUTED_VALUE"""),"Y")</f>
        <v>Y</v>
      </c>
      <c r="G28" s="1" t="str">
        <f>IFERROR(__xludf.DUMMYFUNCTION("""COMPUTED_VALUE"""),"Y")</f>
        <v>Y</v>
      </c>
      <c r="H28" s="1"/>
      <c r="I28" s="1"/>
      <c r="J28" s="1"/>
      <c r="K28" s="2" t="str">
        <f>IFERROR(__xludf.DUMMYFUNCTION("""COMPUTED_VALUE"""),"Latam")</f>
        <v>Latam</v>
      </c>
      <c r="L28" s="2"/>
      <c r="M28" s="2" t="str">
        <f>IFERROR(__xludf.DUMMYFUNCTION("""COMPUTED_VALUE"""),"Technology, Agriculture, Education, Biotechnology")</f>
        <v>Technology, Agriculture, Education, Biotechnology</v>
      </c>
      <c r="N28" s="3"/>
      <c r="O28" s="2" t="str">
        <f>IFERROR(__xludf.DUMMYFUNCTION("""COMPUTED_VALUE"""),"Alaya Capital Partners is a Venture Capital Fund geographically located in Córdoba, Argentina. As a private fund Alaya invests in startups and small size enterprises with strong growth potential that are seeking for a financial injection in order to grow "&amp;"and expand taking the business into the next level.  
The objective is to be the entrepreneur’s partner with a minor share and be able to assist and support the business and it’s team in their early stages of growth. 
Alaya’s aim is to promote the entrepr"&amp;"eneurial ecosystem of the region by encouraging the growth and survival of new businesses, understanding this as the main basis for a better and more prosper economic and social environment")</f>
        <v>Alaya Capital Partners is a Venture Capital Fund geographically located in Córdoba, Argentina. As a private fund Alaya invests in startups and small size enterprises with strong growth potential that are seeking for a financial injection in order to grow and expand taking the business into the next level.  
The objective is to be the entrepreneur’s partner with a minor share and be able to assist and support the business and it’s team in their early stages of growth. 
Alaya’s aim is to promote the entrepreneurial ecosystem of the region by encouraging the growth and survival of new businesses, understanding this as the main basis for a better and more prosper economic and social environment</v>
      </c>
      <c r="P28" s="1"/>
      <c r="Q28" s="1"/>
      <c r="R28" s="1"/>
      <c r="S28" s="1"/>
      <c r="T28" s="1"/>
      <c r="U28" s="1"/>
      <c r="V28" s="1"/>
      <c r="W28" s="1"/>
      <c r="X28" s="1"/>
      <c r="Y28" s="1"/>
      <c r="Z28" s="1"/>
    </row>
    <row r="29" hidden="1">
      <c r="A29" s="1" t="str">
        <f>IFERROR(__xludf.DUMMYFUNCTION("""COMPUTED_VALUE"""),"Alexia Ventures")</f>
        <v>Alexia Ventures</v>
      </c>
      <c r="B29" s="1" t="str">
        <f>IFERROR(__xludf.DUMMYFUNCTION("""COMPUTED_VALUE"""),"Venture Capital")</f>
        <v>Venture Capital</v>
      </c>
      <c r="C29" s="1"/>
      <c r="D29" s="1" t="str">
        <f>IFERROR(__xludf.DUMMYFUNCTION("""COMPUTED_VALUE"""),"Brazil")</f>
        <v>Brazil</v>
      </c>
      <c r="E29" s="1"/>
      <c r="F29" s="1"/>
      <c r="G29" s="1" t="str">
        <f>IFERROR(__xludf.DUMMYFUNCTION("""COMPUTED_VALUE"""),"Y")</f>
        <v>Y</v>
      </c>
      <c r="H29" s="1"/>
      <c r="I29" s="1"/>
      <c r="J29" s="1"/>
      <c r="K29" s="8" t="str">
        <f>IFERROR(__xludf.DUMMYFUNCTION("""COMPUTED_VALUE"""),"https://www.linkedin.com/company/alexia-vc/")</f>
        <v>https://www.linkedin.com/company/alexia-vc/</v>
      </c>
      <c r="L29" s="2" t="str">
        <f>IFERROR(__xludf.DUMMYFUNCTION("""COMPUTED_VALUE"""),"Software, machine learning, artificial intelligence")</f>
        <v>Software, machine learning, artificial intelligence</v>
      </c>
      <c r="M29" s="2"/>
      <c r="N29" s="3"/>
      <c r="O29" s="2"/>
      <c r="P29" s="1"/>
      <c r="Q29" s="1"/>
      <c r="R29" s="1"/>
      <c r="S29" s="1"/>
      <c r="T29" s="1"/>
      <c r="U29" s="1"/>
      <c r="V29" s="1"/>
      <c r="W29" s="1"/>
      <c r="X29" s="1"/>
      <c r="Y29" s="1"/>
      <c r="Z29" s="1"/>
    </row>
    <row r="30">
      <c r="A30" s="1" t="str">
        <f>IFERROR(__xludf.DUMMYFUNCTION("""COMPUTED_VALUE"""),"Hi ventures")</f>
        <v>Hi ventures</v>
      </c>
      <c r="B30" s="1" t="str">
        <f>IFERROR(__xludf.DUMMYFUNCTION("""COMPUTED_VALUE"""),"Venture Capital Fund")</f>
        <v>Venture Capital Fund</v>
      </c>
      <c r="C30" s="7" t="str">
        <f>IFERROR(__xludf.DUMMYFUNCTION("""COMPUTED_VALUE"""),"https://www.hi.vc/")</f>
        <v>https://www.hi.vc/</v>
      </c>
      <c r="D30" s="1" t="str">
        <f>IFERROR(__xludf.DUMMYFUNCTION("""COMPUTED_VALUE"""),"Mexico")</f>
        <v>Mexico</v>
      </c>
      <c r="E30" s="1" t="str">
        <f>IFERROR(__xludf.DUMMYFUNCTION("""COMPUTED_VALUE"""),"Latam, Spain")</f>
        <v>Latam, Spain</v>
      </c>
      <c r="F30" s="1"/>
      <c r="G30" s="1" t="str">
        <f>IFERROR(__xludf.DUMMYFUNCTION("""COMPUTED_VALUE"""),"Y")</f>
        <v>Y</v>
      </c>
      <c r="H30" s="1" t="str">
        <f>IFERROR(__xludf.DUMMYFUNCTION("""COMPUTED_VALUE"""),"Y")</f>
        <v>Y</v>
      </c>
      <c r="I30" s="1" t="str">
        <f>IFERROR(__xludf.DUMMYFUNCTION("""COMPUTED_VALUE"""),"Y")</f>
        <v>Y</v>
      </c>
      <c r="J30" s="1"/>
      <c r="K30" s="2" t="str">
        <f>IFERROR(__xludf.DUMMYFUNCTION("""COMPUTED_VALUE"""),"Latam, Spain")</f>
        <v>Latam, Spain</v>
      </c>
      <c r="L30" s="2"/>
      <c r="M30" s="2" t="str">
        <f>IFERROR(__xludf.DUMMYFUNCTION("""COMPUTED_VALUE"""),"Healthcare, Fintech &amp; Financial Services, Consumer Internet, Energy, Mobility &amp; Smart Cities, SaaS y Human Capital")</f>
        <v>Healthcare, Fintech &amp; Financial Services, Consumer Internet, Energy, Mobility &amp; Smart Cities, SaaS y Human Capital</v>
      </c>
      <c r="N30" s="3"/>
      <c r="O30" s="2" t="str">
        <f>IFERROR(__xludf.DUMMYFUNCTION("""COMPUTED_VALUE"""),"We invest in Latin American founders that want to change the world for the better with technology. #ALLIN
Founded in 2012 in Mexico City by Federico Antoni and Fernando Lelo de Larrea, with the ambition to enable founders to impact visibly the Latin Ameri"&amp;"can entrepreneurial ecosystem, it is one of the most active Series A fund in the venture capital industry in Latin America. ALLVP´s investment thesis participates deeply and actively in the FinTech, Consumer Internet, Human Capital and Smart Cities sector"&amp;"s, which are all experiencing a drastic shift at a regional level (LATAM). 
Across three portfolios, the fund has invested in twenty-six highly innovative and successful companies throughout the region such as Cornershop, the fastest growing on-demand gro"&amp;"cery platform in Latin America, weex, the revolutionary mobile virtual network and wallet, and Alkanza, a pioneering rob-advisor that uses AI to offer portfolio services to clients of financial institutions in Brazil, Mexico, Colombia and the US")</f>
        <v>We invest in Latin American founders that want to change the world for the better with technology. #ALLIN
Founded in 2012 in Mexico City by Federico Antoni and Fernando Lelo de Larrea, with the ambition to enable founders to impact visibly the Latin American entrepreneurial ecosystem, it is one of the most active Series A fund in the venture capital industry in Latin America. ALLVP´s investment thesis participates deeply and actively in the FinTech, Consumer Internet, Human Capital and Smart Cities sectors, which are all experiencing a drastic shift at a regional level (LATAM). 
Across three portfolios, the fund has invested in twenty-six highly innovative and successful companies throughout the region such as Cornershop, the fastest growing on-demand grocery platform in Latin America, weex, the revolutionary mobile virtual network and wallet, and Alkanza, a pioneering rob-advisor that uses AI to offer portfolio services to clients of financial institutions in Brazil, Mexico, Colombia and the US</v>
      </c>
      <c r="P30" s="1" t="str">
        <f>IFERROR(__xludf.DUMMYFUNCTION("""COMPUTED_VALUE"""),"Investing")</f>
        <v>Investing</v>
      </c>
      <c r="Q30" s="1"/>
      <c r="R30" s="1"/>
      <c r="S30" s="1"/>
      <c r="T30" s="1"/>
      <c r="U30" s="1"/>
      <c r="V30" s="1"/>
      <c r="W30" s="1"/>
      <c r="X30" s="1"/>
      <c r="Y30" s="1"/>
      <c r="Z30" s="1"/>
    </row>
    <row r="31">
      <c r="A31" s="1" t="str">
        <f>IFERROR(__xludf.DUMMYFUNCTION("""COMPUTED_VALUE"""),"ALLVP")</f>
        <v>ALLVP</v>
      </c>
      <c r="B31" s="1" t="str">
        <f>IFERROR(__xludf.DUMMYFUNCTION("""COMPUTED_VALUE"""),"Venture Capital Fund")</f>
        <v>Venture Capital Fund</v>
      </c>
      <c r="C31" s="7" t="str">
        <f>IFERROR(__xludf.DUMMYFUNCTION("""COMPUTED_VALUE"""),"https://www.hi.vc/")</f>
        <v>https://www.hi.vc/</v>
      </c>
      <c r="D31" s="1" t="str">
        <f>IFERROR(__xludf.DUMMYFUNCTION("""COMPUTED_VALUE"""),"Mexico")</f>
        <v>Mexico</v>
      </c>
      <c r="E31" s="1" t="str">
        <f>IFERROR(__xludf.DUMMYFUNCTION("""COMPUTED_VALUE"""),"Latam, Spain")</f>
        <v>Latam, Spain</v>
      </c>
      <c r="F31" s="1"/>
      <c r="G31" s="1" t="str">
        <f>IFERROR(__xludf.DUMMYFUNCTION("""COMPUTED_VALUE"""),"Y")</f>
        <v>Y</v>
      </c>
      <c r="H31" s="1" t="str">
        <f>IFERROR(__xludf.DUMMYFUNCTION("""COMPUTED_VALUE"""),"Y")</f>
        <v>Y</v>
      </c>
      <c r="I31" s="1" t="str">
        <f>IFERROR(__xludf.DUMMYFUNCTION("""COMPUTED_VALUE"""),"Y")</f>
        <v>Y</v>
      </c>
      <c r="J31" s="1"/>
      <c r="K31" s="2" t="str">
        <f>IFERROR(__xludf.DUMMYFUNCTION("""COMPUTED_VALUE"""),"Latam, Spain")</f>
        <v>Latam, Spain</v>
      </c>
      <c r="L31" s="2"/>
      <c r="M31" s="2" t="str">
        <f>IFERROR(__xludf.DUMMYFUNCTION("""COMPUTED_VALUE"""),"FinTech, Consumer Digital, Healthcare, and Smart Cities")</f>
        <v>FinTech, Consumer Digital, Healthcare, and Smart Cities</v>
      </c>
      <c r="N31" s="3"/>
      <c r="O31" s="2" t="str">
        <f>IFERROR(__xludf.DUMMYFUNCTION("""COMPUTED_VALUE"""),"We invest in Latin American founders that want to change the world for the better with technology. #ALLIN
Founded in 2012 in Mexico City by Federico Antoni and Fernando Lelo de Larrea, with the ambition to enable founders to impact visibly the Latin Ameri"&amp;"can entrepreneurial ecosystem, it is one of the most active Series A fund in the venture capital industry in Latin America. ALLVP´s investment thesis participates deeply and actively in the FinTech, Consumer Internet, Human Capital and Smart Cities sector"&amp;"s, which are all experiencing a drastic shift at a regional level (LATAM). 
Across three portfolios, the fund has invested in twenty-six highly innovative and successful companies throughout the region such as Cornershop, the fastest growing on-demand gro"&amp;"cery platform in Latin America, weex, the revolutionary mobile virtual network and wallet, and Alkanza, a pioneering rob-advisor that uses AI to offer portfolio services to clients of financial institutions in Brazil, Mexico, Colombia and the US")</f>
        <v>We invest in Latin American founders that want to change the world for the better with technology. #ALLIN
Founded in 2012 in Mexico City by Federico Antoni and Fernando Lelo de Larrea, with the ambition to enable founders to impact visibly the Latin American entrepreneurial ecosystem, it is one of the most active Series A fund in the venture capital industry in Latin America. ALLVP´s investment thesis participates deeply and actively in the FinTech, Consumer Internet, Human Capital and Smart Cities sectors, which are all experiencing a drastic shift at a regional level (LATAM). 
Across three portfolios, the fund has invested in twenty-six highly innovative and successful companies throughout the region such as Cornershop, the fastest growing on-demand grocery platform in Latin America, weex, the revolutionary mobile virtual network and wallet, and Alkanza, a pioneering rob-advisor that uses AI to offer portfolio services to clients of financial institutions in Brazil, Mexico, Colombia and the US</v>
      </c>
      <c r="P31" s="1" t="str">
        <f>IFERROR(__xludf.DUMMYFUNCTION("""COMPUTED_VALUE"""),"Investing")</f>
        <v>Investing</v>
      </c>
      <c r="Q31" s="1"/>
      <c r="R31" s="1"/>
      <c r="S31" s="1"/>
      <c r="T31" s="1"/>
      <c r="U31" s="1"/>
      <c r="V31" s="1"/>
      <c r="W31" s="1"/>
      <c r="X31" s="1"/>
      <c r="Y31" s="1"/>
      <c r="Z31" s="1"/>
    </row>
    <row r="32">
      <c r="A32" s="1" t="str">
        <f>IFERROR(__xludf.DUMMYFUNCTION("""COMPUTED_VALUE"""),"Rumbo Ventures")</f>
        <v>Rumbo Ventures</v>
      </c>
      <c r="B32" s="1" t="str">
        <f>IFERROR(__xludf.DUMMYFUNCTION("""COMPUTED_VALUE"""),"Venture Capital Fund")</f>
        <v>Venture Capital Fund</v>
      </c>
      <c r="C32" s="7" t="str">
        <f>IFERROR(__xludf.DUMMYFUNCTION("""COMPUTED_VALUE"""),"https://rumbo.ventures/es/homepage-espanol/")</f>
        <v>https://rumbo.ventures/es/homepage-espanol/</v>
      </c>
      <c r="D32" s="1" t="str">
        <f>IFERROR(__xludf.DUMMYFUNCTION("""COMPUTED_VALUE"""),"Spain")</f>
        <v>Spain</v>
      </c>
      <c r="E32" s="1" t="str">
        <f>IFERROR(__xludf.DUMMYFUNCTION("""COMPUTED_VALUE"""),"Latam, Spain")</f>
        <v>Latam, Spain</v>
      </c>
      <c r="F32" s="1"/>
      <c r="G32" s="1" t="str">
        <f>IFERROR(__xludf.DUMMYFUNCTION("""COMPUTED_VALUE"""),"Y")</f>
        <v>Y</v>
      </c>
      <c r="H32" s="1" t="str">
        <f>IFERROR(__xludf.DUMMYFUNCTION("""COMPUTED_VALUE"""),"Y")</f>
        <v>Y</v>
      </c>
      <c r="I32" s="1" t="str">
        <f>IFERROR(__xludf.DUMMYFUNCTION("""COMPUTED_VALUE"""),"Y")</f>
        <v>Y</v>
      </c>
      <c r="J32" s="1"/>
      <c r="K32" s="2" t="str">
        <f>IFERROR(__xludf.DUMMYFUNCTION("""COMPUTED_VALUE"""),"Latam, Spain")</f>
        <v>Latam, Spain</v>
      </c>
      <c r="L32" s="2"/>
      <c r="M32" s="2" t="str">
        <f>IFERROR(__xludf.DUMMYFUNCTION("""COMPUTED_VALUE"""),"Climatech")</f>
        <v>Climatech</v>
      </c>
      <c r="N32" s="3"/>
      <c r="O32" s="2" t="str">
        <f>IFERROR(__xludf.DUMMYFUNCTION("""COMPUTED_VALUE"""),"Rumbo Ventures está a la vanguardia de las innovaciones en climate tech en los dinámicos mercados latinos
Nuestra misión es impulsar un cambio significativo y generar rendimientos financieros sustanciales a través de inversiones éticas e inclusivas. Estam"&amp;"os comprometidos con la integración de los principios ESG en nuestras estrategias, garantizando que cada empresa no sólo promueva el progreso ambiental y social, sino que también mantenga los más altos estándares de gobernanza. Nuestra visión es clara: al"&amp;"lanar el camino hacia un futuro más limpio y responsable maximizando el valor para nuestros inversores y partes interesadas.")</f>
        <v>Rumbo Ventures está a la vanguardia de las innovaciones en climate tech en los dinámicos mercados latinos
Nuestra misión es impulsar un cambio significativo y generar rendimientos financieros sustanciales a través de inversiones éticas e inclusivas. Estamos comprometidos con la integración de los principios ESG en nuestras estrategias, garantizando que cada empresa no sólo promueva el progreso ambiental y social, sino que también mantenga los más altos estándares de gobernanza. Nuestra visión es clara: allanar el camino hacia un futuro más limpio y responsable maximizando el valor para nuestros inversores y partes interesadas.</v>
      </c>
      <c r="P32" s="1" t="str">
        <f>IFERROR(__xludf.DUMMYFUNCTION("""COMPUTED_VALUE"""),"Investing")</f>
        <v>Investing</v>
      </c>
      <c r="Q32" s="1"/>
      <c r="R32" s="1"/>
      <c r="S32" s="1"/>
      <c r="T32" s="1"/>
      <c r="U32" s="1"/>
      <c r="V32" s="1"/>
      <c r="W32" s="1"/>
      <c r="X32" s="1"/>
      <c r="Y32" s="1"/>
      <c r="Z32" s="1"/>
    </row>
    <row r="33">
      <c r="A33" s="1" t="str">
        <f>IFERROR(__xludf.DUMMYFUNCTION("""COMPUTED_VALUE"""),"Blackfin capital partners")</f>
        <v>Blackfin capital partners</v>
      </c>
      <c r="B33" s="1" t="str">
        <f>IFERROR(__xludf.DUMMYFUNCTION("""COMPUTED_VALUE"""),"Venture Capital Fund")</f>
        <v>Venture Capital Fund</v>
      </c>
      <c r="C33" s="7" t="str">
        <f>IFERROR(__xludf.DUMMYFUNCTION("""COMPUTED_VALUE"""),"https://www.blackfin.com/")</f>
        <v>https://www.blackfin.com/</v>
      </c>
      <c r="D33" s="1" t="str">
        <f>IFERROR(__xludf.DUMMYFUNCTION("""COMPUTED_VALUE"""),"France")</f>
        <v>France</v>
      </c>
      <c r="E33" s="1" t="str">
        <f>IFERROR(__xludf.DUMMYFUNCTION("""COMPUTED_VALUE"""),"Europe")</f>
        <v>Europe</v>
      </c>
      <c r="F33" s="1"/>
      <c r="G33" s="1" t="str">
        <f>IFERROR(__xludf.DUMMYFUNCTION("""COMPUTED_VALUE"""),"Y")</f>
        <v>Y</v>
      </c>
      <c r="H33" s="1" t="str">
        <f>IFERROR(__xludf.DUMMYFUNCTION("""COMPUTED_VALUE"""),"Y")</f>
        <v>Y</v>
      </c>
      <c r="I33" s="1" t="str">
        <f>IFERROR(__xludf.DUMMYFUNCTION("""COMPUTED_VALUE"""),"Y")</f>
        <v>Y</v>
      </c>
      <c r="J33" s="1"/>
      <c r="K33" s="2" t="str">
        <f>IFERROR(__xludf.DUMMYFUNCTION("""COMPUTED_VALUE"""),"Europe")</f>
        <v>Europe</v>
      </c>
      <c r="L33" s="2"/>
      <c r="M33" s="2" t="str">
        <f>IFERROR(__xludf.DUMMYFUNCTION("""COMPUTED_VALUE"""),"FinTech, InsurTech and RegTech")</f>
        <v>FinTech, InsurTech and RegTech</v>
      </c>
      <c r="N33" s="3"/>
      <c r="O33" s="2" t="str">
        <f>IFERROR(__xludf.DUMMYFUNCTION("""COMPUTED_VALUE"""),"Founded in 2009, BlackFin Capital Partners is the leading private equity firm investing in financial services companies across Europe. A fully independent firm, BlackFin is led by its partners, who have worked together as senior executives and entrepreneu"&amp;"rs in the European financial industry for decades. The firm now spans Europe with offices in Paris, Brussels, Amsterdam, Frankfurt, and London and has team of +50 investment professionals with nationalities spanning the globe. Backed by institutional inve"&amp;"stors from Europe, the Americas and Asia, BlackFin has raised an aggregate of +€4 billion in commitments and deploys capital from its complementary financial services buyout and fintech venture funds. Our Buyout strategy targets asset-light businesses, su"&amp;"ch as: asset management, institutional and retail brokerage, distribution of insurance and banking products, payments, fund administration, business process outsourcing, and financial software. BlackFin Tech, our VC strategy, focuses on early-stage B2B Fi"&amp;"nTech, InsurTech and RegTech companies with exceptional growth that have also a demonstrated a clear product-market fit with potential to be international category leaders. We believe in responsible investing and incorporate ESG in our investment and moni"&amp;"toring processes.")</f>
        <v>Founded in 2009, BlackFin Capital Partners is the leading private equity firm investing in financial services companies across Europe. A fully independent firm, BlackFin is led by its partners, who have worked together as senior executives and entrepreneurs in the European financial industry for decades. The firm now spans Europe with offices in Paris, Brussels, Amsterdam, Frankfurt, and London and has team of +50 investment professionals with nationalities spanning the globe. Backed by institutional investors from Europe, the Americas and Asia, BlackFin has raised an aggregate of +€4 billion in commitments and deploys capital from its complementary financial services buyout and fintech venture funds. Our Buyout strategy targets asset-light businesses, such as: asset management, institutional and retail brokerage, distribution of insurance and banking products, payments, fund administration, business process outsourcing, and financial software. BlackFin Tech, our VC strategy, focuses on early-stage B2B FinTech, InsurTech and RegTech companies with exceptional growth that have also a demonstrated a clear product-market fit with potential to be international category leaders. We believe in responsible investing and incorporate ESG in our investment and monitoring processes.</v>
      </c>
      <c r="P33" s="1" t="str">
        <f>IFERROR(__xludf.DUMMYFUNCTION("""COMPUTED_VALUE"""),"Investing")</f>
        <v>Investing</v>
      </c>
      <c r="Q33" s="1"/>
      <c r="R33" s="1"/>
      <c r="S33" s="1"/>
      <c r="T33" s="1"/>
      <c r="U33" s="1"/>
      <c r="V33" s="1"/>
      <c r="W33" s="1"/>
      <c r="X33" s="1"/>
      <c r="Y33" s="1"/>
      <c r="Z33" s="1"/>
    </row>
    <row r="34">
      <c r="A34" s="1" t="str">
        <f>IFERROR(__xludf.DUMMYFUNCTION("""COMPUTED_VALUE"""),"Attom")</f>
        <v>Attom</v>
      </c>
      <c r="B34" s="1" t="str">
        <f>IFERROR(__xludf.DUMMYFUNCTION("""COMPUTED_VALUE"""),"Venture Capital Fund")</f>
        <v>Venture Capital Fund</v>
      </c>
      <c r="C34" s="7" t="str">
        <f>IFERROR(__xludf.DUMMYFUNCTION("""COMPUTED_VALUE"""),"https://www.attomcapital.com/")</f>
        <v>https://www.attomcapital.com/</v>
      </c>
      <c r="D34" s="1" t="str">
        <f>IFERROR(__xludf.DUMMYFUNCTION("""COMPUTED_VALUE"""),"Mexico")</f>
        <v>Mexico</v>
      </c>
      <c r="E34" s="1" t="str">
        <f>IFERROR(__xludf.DUMMYFUNCTION("""COMPUTED_VALUE"""),"Latam")</f>
        <v>Latam</v>
      </c>
      <c r="F34" s="1"/>
      <c r="G34" s="1" t="str">
        <f>IFERROR(__xludf.DUMMYFUNCTION("""COMPUTED_VALUE"""),"Y")</f>
        <v>Y</v>
      </c>
      <c r="H34" s="1" t="str">
        <f>IFERROR(__xludf.DUMMYFUNCTION("""COMPUTED_VALUE"""),"Y")</f>
        <v>Y</v>
      </c>
      <c r="I34" s="1" t="str">
        <f>IFERROR(__xludf.DUMMYFUNCTION("""COMPUTED_VALUE"""),"Y")</f>
        <v>Y</v>
      </c>
      <c r="J34" s="1"/>
      <c r="K34" s="2" t="str">
        <f>IFERROR(__xludf.DUMMYFUNCTION("""COMPUTED_VALUE"""),"Latam")</f>
        <v>Latam</v>
      </c>
      <c r="L34" s="2"/>
      <c r="M34" s="2"/>
      <c r="N34" s="3"/>
      <c r="O34" s="2" t="str">
        <f>IFERROR(__xludf.DUMMYFUNCTION("""COMPUTED_VALUE"""),"Attom Capital invests in Latin America's best companies by providing liquidity to its shareholders through direct secondary investments. With a primary focus on Fintech, Attom Capital looks to partner with category-defining companies.")</f>
        <v>Attom Capital invests in Latin America's best companies by providing liquidity to its shareholders through direct secondary investments. With a primary focus on Fintech, Attom Capital looks to partner with category-defining companies.</v>
      </c>
      <c r="P34" s="1" t="str">
        <f>IFERROR(__xludf.DUMMYFUNCTION("""COMPUTED_VALUE"""),"Investing")</f>
        <v>Investing</v>
      </c>
      <c r="Q34" s="1"/>
      <c r="R34" s="1"/>
      <c r="S34" s="1"/>
      <c r="T34" s="1"/>
      <c r="U34" s="1"/>
      <c r="V34" s="1"/>
      <c r="W34" s="1"/>
      <c r="X34" s="1"/>
      <c r="Y34" s="1"/>
      <c r="Z34" s="1"/>
    </row>
    <row r="35">
      <c r="A35" s="1" t="str">
        <f>IFERROR(__xludf.DUMMYFUNCTION("""COMPUTED_VALUE"""),"Alpha Impact 8 Ventures")</f>
        <v>Alpha Impact 8 Ventures</v>
      </c>
      <c r="B35" s="1" t="str">
        <f>IFERROR(__xludf.DUMMYFUNCTION("""COMPUTED_VALUE"""),"Venture Capital Fund")</f>
        <v>Venture Capital Fund</v>
      </c>
      <c r="C35" s="7" t="str">
        <f>IFERROR(__xludf.DUMMYFUNCTION("""COMPUTED_VALUE"""),"https://www.alphaimpact8.com/")</f>
        <v>https://www.alphaimpact8.com/</v>
      </c>
      <c r="D35" s="1" t="str">
        <f>IFERROR(__xludf.DUMMYFUNCTION("""COMPUTED_VALUE"""),"United States of America")</f>
        <v>United States of America</v>
      </c>
      <c r="E35" s="1"/>
      <c r="F35" s="1"/>
      <c r="G35" s="1" t="str">
        <f>IFERROR(__xludf.DUMMYFUNCTION("""COMPUTED_VALUE"""),"Y")</f>
        <v>Y</v>
      </c>
      <c r="H35" s="1" t="str">
        <f>IFERROR(__xludf.DUMMYFUNCTION("""COMPUTED_VALUE"""),"Y")</f>
        <v>Y</v>
      </c>
      <c r="I35" s="1"/>
      <c r="J35" s="1"/>
      <c r="K35" s="2"/>
      <c r="L35" s="2" t="str">
        <f>IFERROR(__xludf.DUMMYFUNCTION("""COMPUTED_VALUE"""),"250k - 500k USD")</f>
        <v>250k - 500k USD</v>
      </c>
      <c r="M35" s="2" t="str">
        <f>IFERROR(__xludf.DUMMYFUNCTION("""COMPUTED_VALUE"""),"AI Credit Infrastructure, AI Applications, AI Resilience Technology. ")</f>
        <v>AI Credit Infrastructure, AI Applications, AI Resilience Technology. </v>
      </c>
      <c r="N35" s="3"/>
      <c r="O35" s="2" t="str">
        <f>IFERROR(__xludf.DUMMYFUNCTION("""COMPUTED_VALUE"""),"Alpha Impact 8 Ventures is an anti-venture capital investment manager focused on solving systemic problems by investing in the best technology companies in three main verticals, AI Credit Infrastructure, AI Applications, AI Resilience Technology. 
We pro"&amp;"vide Venture Capital returns with a Private Equity risk profile. Alpha Impact 8 Ventures transforms cash-generating businesses into scalable, AI-powered companies.
We are disrupting the industry, generating wealth, creating technology, providing access, "&amp;"leveling the play field, building a resilient world.")</f>
        <v>Alpha Impact 8 Ventures is an anti-venture capital investment manager focused on solving systemic problems by investing in the best technology companies in three main verticals, AI Credit Infrastructure, AI Applications, AI Resilience Technology. 
We provide Venture Capital returns with a Private Equity risk profile. Alpha Impact 8 Ventures transforms cash-generating businesses into scalable, AI-powered companies.
We are disrupting the industry, generating wealth, creating technology, providing access, leveling the play field, building a resilient world.</v>
      </c>
      <c r="P35" s="1" t="str">
        <f>IFERROR(__xludf.DUMMYFUNCTION("""COMPUTED_VALUE"""),"Fundraising")</f>
        <v>Fundraising</v>
      </c>
      <c r="Q35" s="1"/>
      <c r="R35" s="1"/>
      <c r="S35" s="1"/>
      <c r="T35" s="1"/>
      <c r="U35" s="1"/>
      <c r="V35" s="1"/>
      <c r="W35" s="1"/>
      <c r="X35" s="1"/>
      <c r="Y35" s="1"/>
      <c r="Z35" s="1"/>
    </row>
    <row r="36">
      <c r="A36" s="1" t="str">
        <f>IFERROR(__xludf.DUMMYFUNCTION("""COMPUTED_VALUE"""),"alpha4 ventures")</f>
        <v>alpha4 ventures</v>
      </c>
      <c r="B36" s="1" t="str">
        <f>IFERROR(__xludf.DUMMYFUNCTION("""COMPUTED_VALUE"""),"Venture Capital Fund")</f>
        <v>Venture Capital Fund</v>
      </c>
      <c r="C36" s="7" t="str">
        <f>IFERROR(__xludf.DUMMYFUNCTION("""COMPUTED_VALUE"""),"https://alpha4venturesinternational.com/")</f>
        <v>https://alpha4venturesinternational.com/</v>
      </c>
      <c r="D36" s="1" t="str">
        <f>IFERROR(__xludf.DUMMYFUNCTION("""COMPUTED_VALUE"""),"United States of America")</f>
        <v>United States of America</v>
      </c>
      <c r="E36" s="1" t="str">
        <f>IFERROR(__xludf.DUMMYFUNCTION("""COMPUTED_VALUE"""),"Latam")</f>
        <v>Latam</v>
      </c>
      <c r="F36" s="1"/>
      <c r="G36" s="1"/>
      <c r="H36" s="1" t="str">
        <f>IFERROR(__xludf.DUMMYFUNCTION("""COMPUTED_VALUE"""),"Y")</f>
        <v>Y</v>
      </c>
      <c r="I36" s="1"/>
      <c r="J36" s="1"/>
      <c r="K36" s="2" t="str">
        <f>IFERROR(__xludf.DUMMYFUNCTION("""COMPUTED_VALUE"""),"Latam")</f>
        <v>Latam</v>
      </c>
      <c r="L36" s="2"/>
      <c r="M36" s="2" t="str">
        <f>IFERROR(__xludf.DUMMYFUNCTION("""COMPUTED_VALUE"""),"Ecommerce, Fintech, SaaS, Marketplace, High Tech")</f>
        <v>Ecommerce, Fintech, SaaS, Marketplace, High Tech</v>
      </c>
      <c r="N36" s="3"/>
      <c r="O36" s="2" t="str">
        <f>IFERROR(__xludf.DUMMYFUNCTION("""COMPUTED_VALUE"""),"alpha4 ventures is a Series-A Venture Capital firm focused on Latin American tech companies: eCommerce, Fintech, SaaS/Marketplaces and High Tech.
Latam now has several hubs of developed, consolidated tech ecosystems, with strong early and seed stage incub"&amp;"ators, entrepreneur networks, and investors. The driving catalyst for this unprecedented rise in Latam Tech: a steady influx of entrepreneurs that have gained experience in other markets.
We get Founders unstuck from the vicious cycle of inexistent Series"&amp;" A financing. Series A checks are deployed with a hands-on approach, with a particular focus towards generating regional growth and exits. It's focused capital – we help build our Founders, with strategies that don't sacrifice sustainability in Latam's un"&amp;"ique operating environment.")</f>
        <v>alpha4 ventures is a Series-A Venture Capital firm focused on Latin American tech companies: eCommerce, Fintech, SaaS/Marketplaces and High Tech.
Latam now has several hubs of developed, consolidated tech ecosystems, with strong early and seed stage incubators, entrepreneur networks, and investors. The driving catalyst for this unprecedented rise in Latam Tech: a steady influx of entrepreneurs that have gained experience in other markets.
We get Founders unstuck from the vicious cycle of inexistent Series A financing. Series A checks are deployed with a hands-on approach, with a particular focus towards generating regional growth and exits. It's focused capital – we help build our Founders, with strategies that don't sacrifice sustainability in Latam's unique operating environment.</v>
      </c>
      <c r="P36" s="1"/>
      <c r="Q36" s="1"/>
      <c r="R36" s="1"/>
      <c r="S36" s="1"/>
      <c r="T36" s="1"/>
      <c r="U36" s="1"/>
      <c r="V36" s="1"/>
      <c r="W36" s="1"/>
      <c r="X36" s="1"/>
      <c r="Y36" s="1"/>
      <c r="Z36" s="1"/>
    </row>
    <row r="37">
      <c r="A37" s="1" t="str">
        <f>IFERROR(__xludf.DUMMYFUNCTION("""COMPUTED_VALUE"""),"ALT Ventures")</f>
        <v>ALT Ventures</v>
      </c>
      <c r="B37" s="1" t="str">
        <f>IFERROR(__xludf.DUMMYFUNCTION("""COMPUTED_VALUE"""),"Venture Capital Fund")</f>
        <v>Venture Capital Fund</v>
      </c>
      <c r="C37" s="7" t="str">
        <f>IFERROR(__xludf.DUMMYFUNCTION("""COMPUTED_VALUE"""),"http://www.alt-ventures.com/")</f>
        <v>http://www.alt-ventures.com/</v>
      </c>
      <c r="D37" s="1" t="str">
        <f>IFERROR(__xludf.DUMMYFUNCTION("""COMPUTED_VALUE"""),"Mexico")</f>
        <v>Mexico</v>
      </c>
      <c r="E37" s="1" t="str">
        <f>IFERROR(__xludf.DUMMYFUNCTION("""COMPUTED_VALUE"""),"Mexico")</f>
        <v>Mexico</v>
      </c>
      <c r="F37" s="1"/>
      <c r="G37" s="1" t="str">
        <f>IFERROR(__xludf.DUMMYFUNCTION("""COMPUTED_VALUE"""),"Y")</f>
        <v>Y</v>
      </c>
      <c r="H37" s="1" t="str">
        <f>IFERROR(__xludf.DUMMYFUNCTION("""COMPUTED_VALUE"""),"Y")</f>
        <v>Y</v>
      </c>
      <c r="I37" s="1"/>
      <c r="J37" s="1"/>
      <c r="K37" s="2" t="str">
        <f>IFERROR(__xludf.DUMMYFUNCTION("""COMPUTED_VALUE"""),"Mexico")</f>
        <v>Mexico</v>
      </c>
      <c r="L37" s="2"/>
      <c r="M37" s="2" t="str">
        <f>IFERROR(__xludf.DUMMYFUNCTION("""COMPUTED_VALUE"""),"Ecommerce, Access Economy, Fintech, Media, Advertising")</f>
        <v>Ecommerce, Access Economy, Fintech, Media, Advertising</v>
      </c>
      <c r="N37" s="3"/>
      <c r="O37" s="2" t="str">
        <f>IFERROR(__xludf.DUMMYFUNCTION("""COMPUTED_VALUE"""),"Alt-Ventures (Accendo Latin American Technology Ventures) is a $50M Venture Capital Fund dedicated to developing early stage Technology companies in Mexico, with potential to expand into Latin America and the US. 
We believe the most attractive investment"&amp;" opportunities will be created by entrepreneurs who take existing technology and apply it to solve local problems for consumers.   We don’t expect most companies in this sector to establish competitive advantages via new intellectual property or patents, "&amp;"but rather, we expect the key skill sets for success to be recruiting, talent and project management, product usability, and sales and marketing.
As a venture fund we see significant benefits to specialization.  Deep industry expertise will help us select"&amp;" and scale winners, and develop clear exit strategies.  But we also acknowledge that the market in Mexico is incipient and we must play in a field that is sufficiently broad to build an attractive portfolio.   To balance specialization with sufficient bro"&amp;"adness, we have decided to focus on four high growth verticals: Ecommerce, Access Economy, Fintech, and Media &amp; Advertising.")</f>
        <v>Alt-Ventures (Accendo Latin American Technology Ventures) is a $50M Venture Capital Fund dedicated to developing early stage Technology companies in Mexico, with potential to expand into Latin America and the US. 
We believe the most attractive investment opportunities will be created by entrepreneurs who take existing technology and apply it to solve local problems for consumers.   We don’t expect most companies in this sector to establish competitive advantages via new intellectual property or patents, but rather, we expect the key skill sets for success to be recruiting, talent and project management, product usability, and sales and marketing.
As a venture fund we see significant benefits to specialization.  Deep industry expertise will help us select and scale winners, and develop clear exit strategies.  But we also acknowledge that the market in Mexico is incipient and we must play in a field that is sufficiently broad to build an attractive portfolio.   To balance specialization with sufficient broadness, we have decided to focus on four high growth verticals: Ecommerce, Access Economy, Fintech, and Media &amp; Advertising.</v>
      </c>
      <c r="P37" s="1" t="str">
        <f>IFERROR(__xludf.DUMMYFUNCTION("""COMPUTED_VALUE"""),"Closed")</f>
        <v>Closed</v>
      </c>
      <c r="Q37" s="1"/>
      <c r="R37" s="1"/>
      <c r="S37" s="1"/>
      <c r="T37" s="1"/>
      <c r="U37" s="1"/>
      <c r="V37" s="1"/>
      <c r="W37" s="1"/>
      <c r="X37" s="1"/>
      <c r="Y37" s="1"/>
      <c r="Z37" s="1"/>
    </row>
    <row r="38">
      <c r="A38" s="1" t="str">
        <f>IFERROR(__xludf.DUMMYFUNCTION("""COMPUTED_VALUE"""),"Alta Global Ventures")</f>
        <v>Alta Global Ventures</v>
      </c>
      <c r="B38" s="1" t="str">
        <f>IFERROR(__xludf.DUMMYFUNCTION("""COMPUTED_VALUE"""),"Venture Capital Fund")</f>
        <v>Venture Capital Fund</v>
      </c>
      <c r="C38" s="7" t="str">
        <f>IFERROR(__xludf.DUMMYFUNCTION("""COMPUTED_VALUE"""),"https://altaglobal.com/")</f>
        <v>https://altaglobal.com/</v>
      </c>
      <c r="D38" s="1" t="str">
        <f>IFERROR(__xludf.DUMMYFUNCTION("""COMPUTED_VALUE"""),"United States of America")</f>
        <v>United States of America</v>
      </c>
      <c r="E38" s="1" t="str">
        <f>IFERROR(__xludf.DUMMYFUNCTION("""COMPUTED_VALUE"""),"Global")</f>
        <v>Global</v>
      </c>
      <c r="F38" s="1"/>
      <c r="G38" s="1" t="str">
        <f>IFERROR(__xludf.DUMMYFUNCTION("""COMPUTED_VALUE"""),"Y")</f>
        <v>Y</v>
      </c>
      <c r="H38" s="1" t="str">
        <f>IFERROR(__xludf.DUMMYFUNCTION("""COMPUTED_VALUE"""),"Y")</f>
        <v>Y</v>
      </c>
      <c r="I38" s="1" t="str">
        <f>IFERROR(__xludf.DUMMYFUNCTION("""COMPUTED_VALUE"""),"Y")</f>
        <v>Y</v>
      </c>
      <c r="J38" s="1"/>
      <c r="K38" s="2" t="str">
        <f>IFERROR(__xludf.DUMMYFUNCTION("""COMPUTED_VALUE"""),"Global")</f>
        <v>Global</v>
      </c>
      <c r="L38" s="2"/>
      <c r="M38" s="2" t="str">
        <f>IFERROR(__xludf.DUMMYFUNCTION("""COMPUTED_VALUE"""),"Consumer, Finance, Housing, Health, Education, Entertainment, Manufacturing, Industry")</f>
        <v>Consumer, Finance, Housing, Health, Education, Entertainment, Manufacturing, Industry</v>
      </c>
      <c r="N38" s="3"/>
      <c r="O38" s="2" t="str">
        <f>IFERROR(__xludf.DUMMYFUNCTION("""COMPUTED_VALUE"""),"Alta Global Ventures is global venture capital fund supporting leading entrepreneurs from the top entrepreneur ecosystems around the world as they expand their business internationally. Alta Global invests directly into venture stage and growth stage tech"&amp;"nology companies targeting high-growth markets. Through our global partner network, Alta Global also supports seed stage companies in more than 20 countries and five continents around the world.")</f>
        <v>Alta Global Ventures is global venture capital fund supporting leading entrepreneurs from the top entrepreneur ecosystems around the world as they expand their business internationally. Alta Global invests directly into venture stage and growth stage technology companies targeting high-growth markets. Through our global partner network, Alta Global also supports seed stage companies in more than 20 countries and five continents around the world.</v>
      </c>
      <c r="P38" s="1"/>
      <c r="Q38" s="1"/>
      <c r="R38" s="1"/>
      <c r="S38" s="1"/>
      <c r="T38" s="1"/>
      <c r="U38" s="1"/>
      <c r="V38" s="1"/>
      <c r="W38" s="1"/>
      <c r="X38" s="1"/>
      <c r="Y38" s="1"/>
      <c r="Z38" s="1"/>
    </row>
    <row r="39">
      <c r="A39" s="1" t="str">
        <f>IFERROR(__xludf.DUMMYFUNCTION("""COMPUTED_VALUE"""),"Alta Growth Capital")</f>
        <v>Alta Growth Capital</v>
      </c>
      <c r="B39" s="1" t="str">
        <f>IFERROR(__xludf.DUMMYFUNCTION("""COMPUTED_VALUE"""),"Private Equity Firm")</f>
        <v>Private Equity Firm</v>
      </c>
      <c r="C39" s="7" t="str">
        <f>IFERROR(__xludf.DUMMYFUNCTION("""COMPUTED_VALUE"""),"http://agcmexico.com/")</f>
        <v>http://agcmexico.com/</v>
      </c>
      <c r="D39" s="1" t="str">
        <f>IFERROR(__xludf.DUMMYFUNCTION("""COMPUTED_VALUE"""),"Mexico")</f>
        <v>Mexico</v>
      </c>
      <c r="E39" s="1" t="str">
        <f>IFERROR(__xludf.DUMMYFUNCTION("""COMPUTED_VALUE"""),"Americas")</f>
        <v>Americas</v>
      </c>
      <c r="F39" s="1"/>
      <c r="G39" s="1" t="str">
        <f>IFERROR(__xludf.DUMMYFUNCTION("""COMPUTED_VALUE"""),"Y")</f>
        <v>Y</v>
      </c>
      <c r="H39" s="1" t="str">
        <f>IFERROR(__xludf.DUMMYFUNCTION("""COMPUTED_VALUE"""),"Y")</f>
        <v>Y</v>
      </c>
      <c r="I39" s="1" t="str">
        <f>IFERROR(__xludf.DUMMYFUNCTION("""COMPUTED_VALUE"""),"Y")</f>
        <v>Y</v>
      </c>
      <c r="J39" s="1"/>
      <c r="K39" s="2" t="str">
        <f>IFERROR(__xludf.DUMMYFUNCTION("""COMPUTED_VALUE"""),"Americas")</f>
        <v>Americas</v>
      </c>
      <c r="L39" s="2"/>
      <c r="M39" s="2" t="str">
        <f>IFERROR(__xludf.DUMMYFUNCTION("""COMPUTED_VALUE"""),"Consumer, Finance, Housing, Health, Education, Entertainment, Manufacturing, Industry")</f>
        <v>Consumer, Finance, Housing, Health, Education, Entertainment, Manufacturing, Industry</v>
      </c>
      <c r="N39" s="3"/>
      <c r="O39" s="2" t="str">
        <f>IFERROR(__xludf.DUMMYFUNCTION("""COMPUTED_VALUE"""),"Alta Growth Capital manages funds directed towards a diversified portfolio of private equity and equity-linked investments in middle market companies operating in Mexico.  We target sectors benefiting from the rising domestic consumption of goods and serv"&amp;"ices in the Mexican market, including industries such as consumer goods, financial services, housing, healthcare, education, entertainment, and selective manufacturing and industrial sectors.
The team at Alta Growth Capital is comprised of Mexican and U.S"&amp;". nationals with deep networks and significant business experience, both operating and investing in companies.  In addition to our investment, we bring these resources to bear on each portfolio company to create the best possible outcomes for all parties "&amp;"involved.")</f>
        <v>Alta Growth Capital manages funds directed towards a diversified portfolio of private equity and equity-linked investments in middle market companies operating in Mexico.  We target sectors benefiting from the rising domestic consumption of goods and services in the Mexican market, including industries such as consumer goods, financial services, housing, healthcare, education, entertainment, and selective manufacturing and industrial sectors.
The team at Alta Growth Capital is comprised of Mexican and U.S. nationals with deep networks and significant business experience, both operating and investing in companies.  In addition to our investment, we bring these resources to bear on each portfolio company to create the best possible outcomes for all parties involved.</v>
      </c>
      <c r="P39" s="1"/>
      <c r="Q39" s="1"/>
      <c r="R39" s="1"/>
      <c r="S39" s="1"/>
      <c r="T39" s="1"/>
      <c r="U39" s="1"/>
      <c r="V39" s="1"/>
      <c r="W39" s="1"/>
      <c r="X39" s="1"/>
      <c r="Y39" s="1"/>
      <c r="Z39" s="1"/>
    </row>
    <row r="40">
      <c r="A40" s="1" t="str">
        <f>IFERROR(__xludf.DUMMYFUNCTION("""COMPUTED_VALUE"""),"Alta Ventures Mexico")</f>
        <v>Alta Ventures Mexico</v>
      </c>
      <c r="B40" s="1" t="str">
        <f>IFERROR(__xludf.DUMMYFUNCTION("""COMPUTED_VALUE"""),"Venture Capital Fund")</f>
        <v>Venture Capital Fund</v>
      </c>
      <c r="C40" s="7" t="str">
        <f>IFERROR(__xludf.DUMMYFUNCTION("""COMPUTED_VALUE"""),"https://altaventures.com/")</f>
        <v>https://altaventures.com/</v>
      </c>
      <c r="D40" s="1" t="str">
        <f>IFERROR(__xludf.DUMMYFUNCTION("""COMPUTED_VALUE"""),"Mexico")</f>
        <v>Mexico</v>
      </c>
      <c r="E40" s="1" t="str">
        <f>IFERROR(__xludf.DUMMYFUNCTION("""COMPUTED_VALUE"""),"Mexico, United States of America")</f>
        <v>Mexico, United States of America</v>
      </c>
      <c r="F40" s="1"/>
      <c r="G40" s="1" t="str">
        <f>IFERROR(__xludf.DUMMYFUNCTION("""COMPUTED_VALUE"""),"Y")</f>
        <v>Y</v>
      </c>
      <c r="H40" s="1" t="str">
        <f>IFERROR(__xludf.DUMMYFUNCTION("""COMPUTED_VALUE"""),"Y")</f>
        <v>Y</v>
      </c>
      <c r="I40" s="1" t="str">
        <f>IFERROR(__xludf.DUMMYFUNCTION("""COMPUTED_VALUE"""),"Y")</f>
        <v>Y</v>
      </c>
      <c r="J40" s="1"/>
      <c r="K40" s="2" t="str">
        <f>IFERROR(__xludf.DUMMYFUNCTION("""COMPUTED_VALUE"""),"Mexico, United States of America")</f>
        <v>Mexico, United States of America</v>
      </c>
      <c r="L40" s="2"/>
      <c r="M40" s="2" t="str">
        <f>IFERROR(__xludf.DUMMYFUNCTION("""COMPUTED_VALUE"""),"SaaS, Mobile, Health")</f>
        <v>SaaS, Mobile, Health</v>
      </c>
      <c r="N40" s="3"/>
      <c r="O40" s="2" t="str">
        <f>IFERROR(__xludf.DUMMYFUNCTION("""COMPUTED_VALUE"""),"Alta Ventures is an early-stage venture capital fund helping passionate entrepreneurs grow innovative companies in Latin America. Based in Monterrey and Utah, Alta Ventures provides seed, venture and growth capital to companies targeting high-growth marke"&amp;"ts.")</f>
        <v>Alta Ventures is an early-stage venture capital fund helping passionate entrepreneurs grow innovative companies in Latin America. Based in Monterrey and Utah, Alta Ventures provides seed, venture and growth capital to companies targeting high-growth markets.</v>
      </c>
      <c r="P40" s="1"/>
      <c r="Q40" s="1"/>
      <c r="R40" s="1"/>
      <c r="S40" s="1"/>
      <c r="T40" s="1"/>
      <c r="U40" s="1"/>
      <c r="V40" s="1"/>
      <c r="W40" s="1"/>
      <c r="X40" s="1"/>
      <c r="Y40" s="1"/>
      <c r="Z40" s="1"/>
    </row>
    <row r="41">
      <c r="A41" s="1" t="str">
        <f>IFERROR(__xludf.DUMMYFUNCTION("""COMPUTED_VALUE"""),"Dalus Capital")</f>
        <v>Dalus Capital</v>
      </c>
      <c r="B41" s="1" t="str">
        <f>IFERROR(__xludf.DUMMYFUNCTION("""COMPUTED_VALUE"""),"Venture Capital Fund")</f>
        <v>Venture Capital Fund</v>
      </c>
      <c r="C41" s="7" t="str">
        <f>IFERROR(__xludf.DUMMYFUNCTION("""COMPUTED_VALUE"""),"https://www.daluscapital.com/")</f>
        <v>https://www.daluscapital.com/</v>
      </c>
      <c r="D41" s="1" t="str">
        <f>IFERROR(__xludf.DUMMYFUNCTION("""COMPUTED_VALUE"""),"Mexico")</f>
        <v>Mexico</v>
      </c>
      <c r="E41" s="1" t="str">
        <f>IFERROR(__xludf.DUMMYFUNCTION("""COMPUTED_VALUE"""),"Mexico, United States of America")</f>
        <v>Mexico, United States of America</v>
      </c>
      <c r="F41" s="1"/>
      <c r="G41" s="1" t="str">
        <f>IFERROR(__xludf.DUMMYFUNCTION("""COMPUTED_VALUE"""),"Y")</f>
        <v>Y</v>
      </c>
      <c r="H41" s="1" t="str">
        <f>IFERROR(__xludf.DUMMYFUNCTION("""COMPUTED_VALUE"""),"Y")</f>
        <v>Y</v>
      </c>
      <c r="I41" s="1" t="str">
        <f>IFERROR(__xludf.DUMMYFUNCTION("""COMPUTED_VALUE"""),"Y")</f>
        <v>Y</v>
      </c>
      <c r="J41" s="1"/>
      <c r="K41" s="2" t="str">
        <f>IFERROR(__xludf.DUMMYFUNCTION("""COMPUTED_VALUE"""),"Mexico, United States of America")</f>
        <v>Mexico, United States of America</v>
      </c>
      <c r="L41" s="2" t="str">
        <f>IFERROR(__xludf.DUMMYFUNCTION("""COMPUTED_VALUE"""),"$500K to $5M")</f>
        <v>$500K to $5M</v>
      </c>
      <c r="M41" s="2" t="str">
        <f>IFERROR(__xludf.DUMMYFUNCTION("""COMPUTED_VALUE"""),"Inclusion, Climate Innovation, and Business Productivity.")</f>
        <v>Inclusion, Climate Innovation, and Business Productivity.</v>
      </c>
      <c r="N41" s="3"/>
      <c r="O41" s="2" t="str">
        <f>IFERROR(__xludf.DUMMYFUNCTION("""COMPUTED_VALUE"""),"Alta Ventures is an early-stage venture capital fund helping passionate entrepreneurs grow innovative companies in Latin America. Based in Monterrey and Utah, Alta Ventures provides seed, venture and growth capital to companies targeting high-growth marke"&amp;"ts.")</f>
        <v>Alta Ventures is an early-stage venture capital fund helping passionate entrepreneurs grow innovative companies in Latin America. Based in Monterrey and Utah, Alta Ventures provides seed, venture and growth capital to companies targeting high-growth markets.</v>
      </c>
      <c r="P41" s="1"/>
      <c r="Q41" s="1"/>
      <c r="R41" s="1"/>
      <c r="S41" s="1"/>
      <c r="T41" s="1"/>
      <c r="U41" s="1"/>
      <c r="V41" s="1"/>
      <c r="W41" s="1"/>
      <c r="X41" s="1"/>
      <c r="Y41" s="1"/>
      <c r="Z41" s="1"/>
    </row>
    <row r="42">
      <c r="A42" s="1" t="str">
        <f>IFERROR(__xludf.DUMMYFUNCTION("""COMPUTED_VALUE"""),"Altered Ventures")</f>
        <v>Altered Ventures</v>
      </c>
      <c r="B42" s="1" t="str">
        <f>IFERROR(__xludf.DUMMYFUNCTION("""COMPUTED_VALUE"""),"Venture Capital Fund")</f>
        <v>Venture Capital Fund</v>
      </c>
      <c r="C42" s="7" t="str">
        <f>IFERROR(__xludf.DUMMYFUNCTION("""COMPUTED_VALUE"""),"https://www.venturecapital.game/")</f>
        <v>https://www.venturecapital.game/</v>
      </c>
      <c r="D42" s="1" t="str">
        <f>IFERROR(__xludf.DUMMYFUNCTION("""COMPUTED_VALUE"""),"United States of America")</f>
        <v>United States of America</v>
      </c>
      <c r="E42" s="1"/>
      <c r="F42" s="1"/>
      <c r="G42" s="1" t="str">
        <f>IFERROR(__xludf.DUMMYFUNCTION("""COMPUTED_VALUE"""),"Y")</f>
        <v>Y</v>
      </c>
      <c r="H42" s="1"/>
      <c r="I42" s="1"/>
      <c r="J42" s="1"/>
      <c r="K42" s="2"/>
      <c r="L42" s="2"/>
      <c r="M42" s="2" t="str">
        <f>IFERROR(__xludf.DUMMYFUNCTION("""COMPUTED_VALUE"""),"Entertainment, Virtual Reality, Augmented Reality")</f>
        <v>Entertainment, Virtual Reality, Augmented Reality</v>
      </c>
      <c r="N42" s="3"/>
      <c r="O42" s="2" t="str">
        <f>IFERROR(__xludf.DUMMYFUNCTION("""COMPUTED_VALUE"""),"We are an early-stage seed vc fund. our revolutionary investment approach helps creators develop and publish legendary experiences.
We have a global focus and we are currently seeking outstading developers in the video game, augmented and virtual reality "&amp;"spaces.")</f>
        <v>We are an early-stage seed vc fund. our revolutionary investment approach helps creators develop and publish legendary experiences.
We have a global focus and we are currently seeking outstading developers in the video game, augmented and virtual reality spaces.</v>
      </c>
      <c r="P42" s="1"/>
      <c r="Q42" s="1"/>
      <c r="R42" s="1"/>
      <c r="S42" s="1"/>
      <c r="T42" s="1"/>
      <c r="U42" s="1"/>
      <c r="V42" s="1"/>
      <c r="W42" s="1"/>
      <c r="X42" s="1"/>
      <c r="Y42" s="1"/>
      <c r="Z42" s="1"/>
    </row>
    <row r="43">
      <c r="A43" s="1" t="str">
        <f>IFERROR(__xludf.DUMMYFUNCTION("""COMPUTED_VALUE"""),"Altment Capital Partners")</f>
        <v>Altment Capital Partners</v>
      </c>
      <c r="B43" s="1" t="str">
        <f>IFERROR(__xludf.DUMMYFUNCTION("""COMPUTED_VALUE"""),"Private Equity Firm")</f>
        <v>Private Equity Firm</v>
      </c>
      <c r="C43" s="7" t="str">
        <f>IFERROR(__xludf.DUMMYFUNCTION("""COMPUTED_VALUE"""),"https://www.altment.com/")</f>
        <v>https://www.altment.com/</v>
      </c>
      <c r="D43" s="1" t="str">
        <f>IFERROR(__xludf.DUMMYFUNCTION("""COMPUTED_VALUE"""),"Spain")</f>
        <v>Spain</v>
      </c>
      <c r="E43" s="1" t="str">
        <f>IFERROR(__xludf.DUMMYFUNCTION("""COMPUTED_VALUE"""),"Latam")</f>
        <v>Latam</v>
      </c>
      <c r="F43" s="1"/>
      <c r="G43" s="1"/>
      <c r="H43" s="1"/>
      <c r="I43" s="1"/>
      <c r="J43" s="1"/>
      <c r="K43" s="2" t="str">
        <f>IFERROR(__xludf.DUMMYFUNCTION("""COMPUTED_VALUE"""),"Latam")</f>
        <v>Latam</v>
      </c>
      <c r="L43" s="2"/>
      <c r="M43" s="2"/>
      <c r="N43" s="3"/>
      <c r="O43" s="2" t="str">
        <f>IFERROR(__xludf.DUMMYFUNCTION("""COMPUTED_VALUE"""),"Altment Capital Partners is an Independent Fund Placement  Specialist and Investment Platform that  helps managers raise capital from our extensive  and proprietary network of institutional  investors, family offices and accredited HNWI that are based in "&amp;"Iberia, Latin America and Israel.")</f>
        <v>Altment Capital Partners is an Independent Fund Placement  Specialist and Investment Platform that  helps managers raise capital from our extensive  and proprietary network of institutional  investors, family offices and accredited HNWI that are based in Iberia, Latin America and Israel.</v>
      </c>
      <c r="P43" s="1"/>
      <c r="Q43" s="1"/>
      <c r="R43" s="1"/>
      <c r="S43" s="1"/>
      <c r="T43" s="1"/>
      <c r="U43" s="1"/>
      <c r="V43" s="1"/>
      <c r="W43" s="1"/>
      <c r="X43" s="1"/>
      <c r="Y43" s="1"/>
      <c r="Z43" s="1"/>
    </row>
    <row r="44">
      <c r="A44" s="1" t="str">
        <f>IFERROR(__xludf.DUMMYFUNCTION("""COMPUTED_VALUE"""),"Amadeus Capital Partners")</f>
        <v>Amadeus Capital Partners</v>
      </c>
      <c r="B44" s="1" t="str">
        <f>IFERROR(__xludf.DUMMYFUNCTION("""COMPUTED_VALUE"""),"Venture Capital Fund")</f>
        <v>Venture Capital Fund</v>
      </c>
      <c r="C44" s="7" t="str">
        <f>IFERROR(__xludf.DUMMYFUNCTION("""COMPUTED_VALUE"""),"https://www.amadeuscapital.com/")</f>
        <v>https://www.amadeuscapital.com/</v>
      </c>
      <c r="D44" s="1" t="str">
        <f>IFERROR(__xludf.DUMMYFUNCTION("""COMPUTED_VALUE"""),"United Kingdom")</f>
        <v>United Kingdom</v>
      </c>
      <c r="E44" s="1" t="str">
        <f>IFERROR(__xludf.DUMMYFUNCTION("""COMPUTED_VALUE"""),"England, United States")</f>
        <v>England, United States</v>
      </c>
      <c r="F44" s="1"/>
      <c r="G44" s="1"/>
      <c r="H44" s="1"/>
      <c r="I44" s="1"/>
      <c r="J44" s="1"/>
      <c r="K44" s="2" t="str">
        <f>IFERROR(__xludf.DUMMYFUNCTION("""COMPUTED_VALUE"""),"England, United States")</f>
        <v>England, United States</v>
      </c>
      <c r="L44" s="2"/>
      <c r="M44" s="2"/>
      <c r="N44" s="3"/>
      <c r="O44" s="2" t="str">
        <f>IFERROR(__xludf.DUMMYFUNCTION("""COMPUTED_VALUE"""),"Amadeus Capital Partners caters to the technology sector with seed, early, and later stage venture, and private equity investments.")</f>
        <v>Amadeus Capital Partners caters to the technology sector with seed, early, and later stage venture, and private equity investments.</v>
      </c>
      <c r="P44" s="1"/>
      <c r="Q44" s="1"/>
      <c r="R44" s="1"/>
      <c r="S44" s="1"/>
      <c r="T44" s="1"/>
      <c r="U44" s="1"/>
      <c r="V44" s="1"/>
      <c r="W44" s="1"/>
      <c r="X44" s="1"/>
      <c r="Y44" s="1"/>
      <c r="Z44" s="1"/>
    </row>
    <row r="45">
      <c r="A45" s="1" t="str">
        <f>IFERROR(__xludf.DUMMYFUNCTION("""COMPUTED_VALUE"""),"Ampersand Ventures")</f>
        <v>Ampersand Ventures</v>
      </c>
      <c r="B45" s="1" t="str">
        <f>IFERROR(__xludf.DUMMYFUNCTION("""COMPUTED_VALUE"""),"Venture Builder")</f>
        <v>Venture Builder</v>
      </c>
      <c r="C45" s="7" t="str">
        <f>IFERROR(__xludf.DUMMYFUNCTION("""COMPUTED_VALUE"""),"http://www.ampersand.black/")</f>
        <v>http://www.ampersand.black/</v>
      </c>
      <c r="D45" s="1" t="str">
        <f>IFERROR(__xludf.DUMMYFUNCTION("""COMPUTED_VALUE"""),"Mexico")</f>
        <v>Mexico</v>
      </c>
      <c r="E45" s="1"/>
      <c r="F45" s="1"/>
      <c r="G45" s="1"/>
      <c r="H45" s="1"/>
      <c r="I45" s="1"/>
      <c r="J45" s="1"/>
      <c r="K45" s="2"/>
      <c r="L45" s="2"/>
      <c r="M45" s="2"/>
      <c r="N45" s="3"/>
      <c r="O45" s="2" t="str">
        <f>IFERROR(__xludf.DUMMYFUNCTION("""COMPUTED_VALUE"""),"Ampersand exists to build scalable companies that transform industries and societies, and become the backbone of the middle class of emerging economies. We believe that this is the best way for sustainable economic development — and the most meaningful wa"&amp;"y to spend our talent and energy.")</f>
        <v>Ampersand exists to build scalable companies that transform industries and societies, and become the backbone of the middle class of emerging economies. We believe that this is the best way for sustainable economic development — and the most meaningful way to spend our talent and energy.</v>
      </c>
      <c r="P45" s="1" t="str">
        <f>IFERROR(__xludf.DUMMYFUNCTION("""COMPUTED_VALUE"""),"??")</f>
        <v>??</v>
      </c>
      <c r="Q45" s="1"/>
      <c r="R45" s="1"/>
      <c r="S45" s="1"/>
      <c r="T45" s="1"/>
      <c r="U45" s="1"/>
      <c r="V45" s="1"/>
      <c r="W45" s="1"/>
      <c r="X45" s="1"/>
      <c r="Y45" s="1"/>
      <c r="Z45" s="1"/>
    </row>
    <row r="46" hidden="1">
      <c r="A46" s="1" t="str">
        <f>IFERROR(__xludf.DUMMYFUNCTION("""COMPUTED_VALUE"""),"Amplo Kaya")</f>
        <v>Amplo Kaya</v>
      </c>
      <c r="B46" s="1" t="str">
        <f>IFERROR(__xludf.DUMMYFUNCTION("""COMPUTED_VALUE"""),"Venture Capital Fund")</f>
        <v>Venture Capital Fund</v>
      </c>
      <c r="C46" s="1"/>
      <c r="D46" s="1" t="str">
        <f>IFERROR(__xludf.DUMMYFUNCTION("""COMPUTED_VALUE"""),"Colombia")</f>
        <v>Colombia</v>
      </c>
      <c r="E46" s="1" t="str">
        <f>IFERROR(__xludf.DUMMYFUNCTION("""COMPUTED_VALUE"""),"Latam")</f>
        <v>Latam</v>
      </c>
      <c r="F46" s="1"/>
      <c r="G46" s="1"/>
      <c r="H46" s="1"/>
      <c r="I46" s="1"/>
      <c r="J46" s="1"/>
      <c r="K46" s="8" t="str">
        <f>IFERROR(__xludf.DUMMYFUNCTION("""COMPUTED_VALUE"""),"https://www.linkedin.com/company/amploinvest/")</f>
        <v>https://www.linkedin.com/company/amploinvest/</v>
      </c>
      <c r="L46" s="2" t="str">
        <f>IFERROR(__xludf.DUMMYFUNCTION("""COMPUTED_VALUE"""),"Inclusive and sustainable rural communities")</f>
        <v>Inclusive and sustainable rural communities</v>
      </c>
      <c r="M46" s="2" t="str">
        <f>IFERROR(__xludf.DUMMYFUNCTION("""COMPUTED_VALUE"""),"Green and inclusive smart cities")</f>
        <v>Green and inclusive smart cities</v>
      </c>
      <c r="N46" s="3"/>
      <c r="O46" s="2"/>
      <c r="P46" s="1"/>
      <c r="Q46" s="1"/>
      <c r="R46" s="1"/>
      <c r="S46" s="1"/>
      <c r="T46" s="1"/>
      <c r="U46" s="1"/>
      <c r="V46" s="1"/>
      <c r="W46" s="1"/>
      <c r="X46" s="1"/>
      <c r="Y46" s="1"/>
      <c r="Z46" s="1"/>
    </row>
    <row r="47">
      <c r="A47" s="1" t="str">
        <f>IFERROR(__xludf.DUMMYFUNCTION("""COMPUTED_VALUE"""),"Andreessen Horowitz")</f>
        <v>Andreessen Horowitz</v>
      </c>
      <c r="B47" s="1" t="str">
        <f>IFERROR(__xludf.DUMMYFUNCTION("""COMPUTED_VALUE"""),"Venture Capital Fund")</f>
        <v>Venture Capital Fund</v>
      </c>
      <c r="C47" s="7" t="str">
        <f>IFERROR(__xludf.DUMMYFUNCTION("""COMPUTED_VALUE"""),"https://a16z.com/")</f>
        <v>https://a16z.com/</v>
      </c>
      <c r="D47" s="1" t="str">
        <f>IFERROR(__xludf.DUMMYFUNCTION("""COMPUTED_VALUE"""),"United States of America")</f>
        <v>United States of America</v>
      </c>
      <c r="E47" s="1"/>
      <c r="F47" s="1"/>
      <c r="G47" s="1" t="str">
        <f>IFERROR(__xludf.DUMMYFUNCTION("""COMPUTED_VALUE"""),"Y")</f>
        <v>Y</v>
      </c>
      <c r="H47" s="1" t="str">
        <f>IFERROR(__xludf.DUMMYFUNCTION("""COMPUTED_VALUE"""),"Y")</f>
        <v>Y</v>
      </c>
      <c r="I47" s="1" t="str">
        <f>IFERROR(__xludf.DUMMYFUNCTION("""COMPUTED_VALUE"""),"Y")</f>
        <v>Y</v>
      </c>
      <c r="J47" s="1" t="str">
        <f>IFERROR(__xludf.DUMMYFUNCTION("""COMPUTED_VALUE"""),"Y")</f>
        <v>Y</v>
      </c>
      <c r="K47" s="2"/>
      <c r="L47" s="2"/>
      <c r="M47" s="2"/>
      <c r="N47" s="3"/>
      <c r="O47" s="2" t="str">
        <f>IFERROR(__xludf.DUMMYFUNCTION("""COMPUTED_VALUE"""),"Andreessen Horowitz is a stage-agnostic venture capital firm with nearly $16.6B in assets under management across multiple funds.")</f>
        <v>Andreessen Horowitz is a stage-agnostic venture capital firm with nearly $16.6B in assets under management across multiple funds.</v>
      </c>
      <c r="P47" s="1"/>
      <c r="Q47" s="1"/>
      <c r="R47" s="1"/>
      <c r="S47" s="1"/>
      <c r="T47" s="1"/>
      <c r="U47" s="1"/>
      <c r="V47" s="1"/>
      <c r="W47" s="1"/>
      <c r="X47" s="1"/>
      <c r="Y47" s="1"/>
      <c r="Z47" s="1"/>
    </row>
    <row r="48">
      <c r="A48" s="1" t="str">
        <f>IFERROR(__xludf.DUMMYFUNCTION("""COMPUTED_VALUE"""),"Angel Hub Ventures")</f>
        <v>Angel Hub Ventures</v>
      </c>
      <c r="B48" s="1" t="str">
        <f>IFERROR(__xludf.DUMMYFUNCTION("""COMPUTED_VALUE"""),"Angel Group")</f>
        <v>Angel Group</v>
      </c>
      <c r="C48" s="7" t="str">
        <f>IFERROR(__xludf.DUMMYFUNCTION("""COMPUTED_VALUE"""),"https://www.angelhub.mx/")</f>
        <v>https://www.angelhub.mx/</v>
      </c>
      <c r="D48" s="1" t="str">
        <f>IFERROR(__xludf.DUMMYFUNCTION("""COMPUTED_VALUE"""),"Mexico")</f>
        <v>Mexico</v>
      </c>
      <c r="E48" s="1" t="str">
        <f>IFERROR(__xludf.DUMMYFUNCTION("""COMPUTED_VALUE"""),"Mexico")</f>
        <v>Mexico</v>
      </c>
      <c r="F48" s="1"/>
      <c r="G48" s="1" t="str">
        <f>IFERROR(__xludf.DUMMYFUNCTION("""COMPUTED_VALUE"""),"Y")</f>
        <v>Y</v>
      </c>
      <c r="H48" s="1"/>
      <c r="I48" s="1"/>
      <c r="J48" s="1"/>
      <c r="K48" s="2" t="str">
        <f>IFERROR(__xludf.DUMMYFUNCTION("""COMPUTED_VALUE"""),"Mexico")</f>
        <v>Mexico</v>
      </c>
      <c r="L48" s="2" t="str">
        <f>IFERROR(__xludf.DUMMYFUNCTION("""COMPUTED_VALUE"""),"50k - 250k USD")</f>
        <v>50k - 250k USD</v>
      </c>
      <c r="M48" s="2"/>
      <c r="N48" s="3"/>
      <c r="O48" s="2" t="str">
        <f>IFERROR(__xludf.DUMMYFUNCTION("""COMPUTED_VALUE"""),"Angel Investor group based in Monterrey, Mexico")</f>
        <v>Angel Investor group based in Monterrey, Mexico</v>
      </c>
      <c r="P48" s="1"/>
      <c r="Q48" s="1"/>
      <c r="R48" s="1"/>
      <c r="S48" s="1"/>
      <c r="T48" s="1"/>
      <c r="U48" s="1"/>
      <c r="V48" s="1"/>
      <c r="W48" s="1"/>
      <c r="X48" s="1"/>
      <c r="Y48" s="1"/>
      <c r="Z48" s="1"/>
    </row>
    <row r="49">
      <c r="A49" s="1" t="str">
        <f>IFERROR(__xludf.DUMMYFUNCTION("""COMPUTED_VALUE"""),"Angel Ventures")</f>
        <v>Angel Ventures</v>
      </c>
      <c r="B49" s="1" t="str">
        <f>IFERROR(__xludf.DUMMYFUNCTION("""COMPUTED_VALUE"""),"Venture Capital Fund")</f>
        <v>Venture Capital Fund</v>
      </c>
      <c r="C49" s="7" t="str">
        <f>IFERROR(__xludf.DUMMYFUNCTION("""COMPUTED_VALUE"""),"http://angelventures.vc/")</f>
        <v>http://angelventures.vc/</v>
      </c>
      <c r="D49" s="1" t="str">
        <f>IFERROR(__xludf.DUMMYFUNCTION("""COMPUTED_VALUE"""),"Mexico")</f>
        <v>Mexico</v>
      </c>
      <c r="E49" s="1" t="str">
        <f>IFERROR(__xludf.DUMMYFUNCTION("""COMPUTED_VALUE"""),"Mexico")</f>
        <v>Mexico</v>
      </c>
      <c r="F49" s="1" t="str">
        <f>IFERROR(__xludf.DUMMYFUNCTION("""COMPUTED_VALUE"""),"Y")</f>
        <v>Y</v>
      </c>
      <c r="G49" s="1" t="str">
        <f>IFERROR(__xludf.DUMMYFUNCTION("""COMPUTED_VALUE"""),"Y")</f>
        <v>Y</v>
      </c>
      <c r="H49" s="1" t="str">
        <f>IFERROR(__xludf.DUMMYFUNCTION("""COMPUTED_VALUE"""),"Y")</f>
        <v>Y</v>
      </c>
      <c r="I49" s="1"/>
      <c r="J49" s="1"/>
      <c r="K49" s="2" t="str">
        <f>IFERROR(__xludf.DUMMYFUNCTION("""COMPUTED_VALUE"""),"Mexico")</f>
        <v>Mexico</v>
      </c>
      <c r="L49" s="2" t="str">
        <f>IFERROR(__xludf.DUMMYFUNCTION("""COMPUTED_VALUE"""),"$250 - $1M")</f>
        <v>$250 - $1M</v>
      </c>
      <c r="M49" s="2" t="str">
        <f>IFERROR(__xludf.DUMMYFUNCTION("""COMPUTED_VALUE"""),"Logistics &amp; Supply chain, Proptech, HR Tech, Fintech, Foodtech, Industry 4.0")</f>
        <v>Logistics &amp; Supply chain, Proptech, HR Tech, Fintech, Foodtech, Industry 4.0</v>
      </c>
      <c r="N49" s="3"/>
      <c r="O49" s="2" t="str">
        <f>IFERROR(__xludf.DUMMYFUNCTION("""COMPUTED_VALUE"""),"Angel Ventures started in 2008 as the first professionally managed angel investor network in Latin America seeking to ""link great ideas with capital"". It now has more than 300 members, comprised of Angel Investors and other senior executives, to co-inve"&amp;"st in early stage, high potential companies. In 2012 the firm raised its´ first VC fund of 20 million dollars which is invested in 21 companies. AV is now raising its second fund. This second fund is the official Pacific Alliance VC Fund with a target siz"&amp;"e of 120 million dollars to be invested in the region countries (Chile, Colombia, Mexico and Peru).")</f>
        <v>Angel Ventures started in 2008 as the first professionally managed angel investor network in Latin America seeking to "link great ideas with capital". It now has more than 300 members, comprised of Angel Investors and other senior executives, to co-invest in early stage, high potential companies. In 2012 the firm raised its´ first VC fund of 20 million dollars which is invested in 21 companies. AV is now raising its second fund. This second fund is the official Pacific Alliance VC Fund with a target size of 120 million dollars to be invested in the region countries (Chile, Colombia, Mexico and Peru).</v>
      </c>
      <c r="P49" s="1" t="str">
        <f>IFERROR(__xludf.DUMMYFUNCTION("""COMPUTED_VALUE"""),"Investing")</f>
        <v>Investing</v>
      </c>
      <c r="Q49" s="1"/>
      <c r="R49" s="1"/>
      <c r="S49" s="1"/>
      <c r="T49" s="1"/>
      <c r="U49" s="1"/>
      <c r="V49" s="1"/>
      <c r="W49" s="1"/>
      <c r="X49" s="1"/>
      <c r="Y49" s="1"/>
      <c r="Z49" s="1"/>
    </row>
    <row r="50">
      <c r="A50" s="1" t="str">
        <f>IFERROR(__xludf.DUMMYFUNCTION("""COMPUTED_VALUE"""),"Dux Capital")</f>
        <v>Dux Capital</v>
      </c>
      <c r="B50" s="1" t="str">
        <f>IFERROR(__xludf.DUMMYFUNCTION("""COMPUTED_VALUE"""),"Venture Capital Fund")</f>
        <v>Venture Capital Fund</v>
      </c>
      <c r="C50" s="7" t="str">
        <f>IFERROR(__xludf.DUMMYFUNCTION("""COMPUTED_VALUE"""),"http://www.duxcapital.vc/")</f>
        <v>http://www.duxcapital.vc/</v>
      </c>
      <c r="D50" s="1" t="str">
        <f>IFERROR(__xludf.DUMMYFUNCTION("""COMPUTED_VALUE"""),"Mexico")</f>
        <v>Mexico</v>
      </c>
      <c r="E50" s="1" t="str">
        <f>IFERROR(__xludf.DUMMYFUNCTION("""COMPUTED_VALUE"""),"Latam")</f>
        <v>Latam</v>
      </c>
      <c r="F50" s="1"/>
      <c r="G50" s="1" t="str">
        <f>IFERROR(__xludf.DUMMYFUNCTION("""COMPUTED_VALUE"""),"Y")</f>
        <v>Y</v>
      </c>
      <c r="H50" s="1" t="str">
        <f>IFERROR(__xludf.DUMMYFUNCTION("""COMPUTED_VALUE"""),"Y")</f>
        <v>Y</v>
      </c>
      <c r="I50" s="1"/>
      <c r="J50" s="1"/>
      <c r="K50" s="2" t="str">
        <f>IFERROR(__xludf.DUMMYFUNCTION("""COMPUTED_VALUE"""),"Latam")</f>
        <v>Latam</v>
      </c>
      <c r="L50" s="2"/>
      <c r="M50" s="2"/>
      <c r="N50" s="3"/>
      <c r="O50" s="2" t="str">
        <f>IFERROR(__xludf.DUMMYFUNCTION("""COMPUTED_VALUE"""),"Dux Capital is a seed-stage VC firm based in Austin, dedicated to investing in exceptional but underrepresented founders. Our inclusive approach and deep network allow us to discover and scale startups that are often overlooked by traditional investors. B"&amp;"y focusing on underserved markets, we help drive innovation and economic growth.We’ve experienced the barriers that first-generation and cross-border founders face in the U.S. We know talent can be exceptional, the networks can be uneven. Our role is simp"&amp;"le: invest in outliers, provide strategic leverage, and help them scale into U.S. category leaders.
We give founders a trampoline – access, networks, and strategic clarity – to jump higher and scale faster in the U.S. market.")</f>
        <v>Dux Capital is a seed-stage VC firm based in Austin, dedicated to investing in exceptional but underrepresented founders. Our inclusive approach and deep network allow us to discover and scale startups that are often overlooked by traditional investors. By focusing on underserved markets, we help drive innovation and economic growth.We’ve experienced the barriers that first-generation and cross-border founders face in the U.S. We know talent can be exceptional, the networks can be uneven. Our role is simple: invest in outliers, provide strategic leverage, and help them scale into U.S. category leaders.
We give founders a trampoline – access, networks, and strategic clarity – to jump higher and scale faster in the U.S. market.</v>
      </c>
      <c r="P50" s="1" t="str">
        <f>IFERROR(__xludf.DUMMYFUNCTION("""COMPUTED_VALUE"""),"Investing")</f>
        <v>Investing</v>
      </c>
      <c r="Q50" s="1"/>
      <c r="R50" s="1"/>
      <c r="S50" s="1"/>
      <c r="T50" s="1"/>
      <c r="U50" s="1"/>
      <c r="V50" s="1"/>
      <c r="W50" s="1"/>
      <c r="X50" s="1"/>
      <c r="Y50" s="1"/>
      <c r="Z50" s="1"/>
    </row>
    <row r="51">
      <c r="A51" s="1" t="str">
        <f>IFERROR(__xludf.DUMMYFUNCTION("""COMPUTED_VALUE"""),"Amplifica")</f>
        <v>Amplifica</v>
      </c>
      <c r="B51" s="1" t="str">
        <f>IFERROR(__xludf.DUMMYFUNCTION("""COMPUTED_VALUE"""),"Venture Capital Fund")</f>
        <v>Venture Capital Fund</v>
      </c>
      <c r="C51" s="7" t="str">
        <f>IFERROR(__xludf.DUMMYFUNCTION("""COMPUTED_VALUE"""),"https://www.amplifica.capital/")</f>
        <v>https://www.amplifica.capital/</v>
      </c>
      <c r="D51" s="1" t="str">
        <f>IFERROR(__xludf.DUMMYFUNCTION("""COMPUTED_VALUE"""),"Mexico")</f>
        <v>Mexico</v>
      </c>
      <c r="E51" s="1" t="str">
        <f>IFERROR(__xludf.DUMMYFUNCTION("""COMPUTED_VALUE"""),"Latam except Brazil")</f>
        <v>Latam except Brazil</v>
      </c>
      <c r="F51" s="1"/>
      <c r="G51" s="1" t="str">
        <f>IFERROR(__xludf.DUMMYFUNCTION("""COMPUTED_VALUE"""),"Y")</f>
        <v>Y</v>
      </c>
      <c r="H51" s="1"/>
      <c r="I51" s="1"/>
      <c r="J51" s="1"/>
      <c r="K51" s="2" t="str">
        <f>IFERROR(__xludf.DUMMYFUNCTION("""COMPUTED_VALUE"""),"Latam except Brazil")</f>
        <v>Latam except Brazil</v>
      </c>
      <c r="L51" s="2" t="str">
        <f>IFERROR(__xludf.DUMMYFUNCTION("""COMPUTED_VALUE"""),"100k")</f>
        <v>100k</v>
      </c>
      <c r="M51" s="2" t="str">
        <f>IFERROR(__xludf.DUMMYFUNCTION("""COMPUTED_VALUE"""),"Agtech, Fintech, Climate Tech y la Salud de la Mujer.")</f>
        <v>Agtech, Fintech, Climate Tech y la Salud de la Mujer.</v>
      </c>
      <c r="N51" s="3"/>
      <c r="O51" s="2" t="str">
        <f>IFERROR(__xludf.DUMMYFUNCTION("""COMPUTED_VALUE"""),"We are on a mission to bring more women into the game –as investors and founders– because we know they will transform LatAms's future. 
We are a VC firm investing in women with early-stage tech startups in Latam, with teams including female founders, or "&amp;"with goods and services for women.")</f>
        <v>We are on a mission to bring more women into the game –as investors and founders– because we know they will transform LatAms's future. 
We are a VC firm investing in women with early-stage tech startups in Latam, with teams including female founders, or with goods and services for women.</v>
      </c>
      <c r="P51" s="1"/>
      <c r="Q51" s="1"/>
      <c r="R51" s="1"/>
      <c r="S51" s="1"/>
      <c r="T51" s="1"/>
      <c r="U51" s="1"/>
      <c r="V51" s="1"/>
      <c r="W51" s="1"/>
      <c r="X51" s="1"/>
      <c r="Y51" s="1"/>
      <c r="Z51" s="1"/>
    </row>
    <row r="52">
      <c r="A52" s="1" t="str">
        <f>IFERROR(__xludf.DUMMYFUNCTION("""COMPUTED_VALUE"""),"Ewa Capital")</f>
        <v>Ewa Capital</v>
      </c>
      <c r="B52" s="1" t="str">
        <f>IFERROR(__xludf.DUMMYFUNCTION("""COMPUTED_VALUE"""),"Venture Capital Fund")</f>
        <v>Venture Capital Fund</v>
      </c>
      <c r="C52" s="7" t="str">
        <f>IFERROR(__xludf.DUMMYFUNCTION("""COMPUTED_VALUE"""),"https://ewa.capital/")</f>
        <v>https://ewa.capital/</v>
      </c>
      <c r="D52" s="1" t="str">
        <f>IFERROR(__xludf.DUMMYFUNCTION("""COMPUTED_VALUE"""),"Colombia")</f>
        <v>Colombia</v>
      </c>
      <c r="E52" s="1" t="str">
        <f>IFERROR(__xludf.DUMMYFUNCTION("""COMPUTED_VALUE"""),"Latam &amp; caribe")</f>
        <v>Latam &amp; caribe</v>
      </c>
      <c r="F52" s="1" t="str">
        <f>IFERROR(__xludf.DUMMYFUNCTION("""COMPUTED_VALUE"""),"Y")</f>
        <v>Y</v>
      </c>
      <c r="G52" s="1" t="str">
        <f>IFERROR(__xludf.DUMMYFUNCTION("""COMPUTED_VALUE"""),"Y")</f>
        <v>Y</v>
      </c>
      <c r="H52" s="1"/>
      <c r="I52" s="1"/>
      <c r="J52" s="1"/>
      <c r="K52" s="2" t="str">
        <f>IFERROR(__xludf.DUMMYFUNCTION("""COMPUTED_VALUE"""),"Latam &amp; caribe")</f>
        <v>Latam &amp; caribe</v>
      </c>
      <c r="L52" s="2" t="str">
        <f>IFERROR(__xludf.DUMMYFUNCTION("""COMPUTED_VALUE"""),"$200K to $1.5M")</f>
        <v>$200K to $1.5M</v>
      </c>
      <c r="M52" s="2" t="str">
        <f>IFERROR(__xludf.DUMMYFUNCTION("""COMPUTED_VALUE"""),"Gender-smart footprint")</f>
        <v>Gender-smart footprint</v>
      </c>
      <c r="N52" s="3"/>
      <c r="O52" s="2" t="str">
        <f>IFERROR(__xludf.DUMMYFUNCTION("""COMPUTED_VALUE"""),"EWA Capital, recently rebranded from Mountain Nazca Colombia, is in the process of fundraising EWA II ($30 Mn target), seeking to invest in early stage companies, with disruptive models in which technology is an enabler to solve a socioeconomic condition "&amp;"related to education, healthcare, financial services and retail in LAC. Led by women, EWA Capital acknowledges the importance of women as end customers and their power and influence over consumer spending. Through a gender smart approach the Team is commi"&amp;"tted to obtaining high returns and shaping social change by backing entrepreneurs in developing industries.")</f>
        <v>EWA Capital, recently rebranded from Mountain Nazca Colombia, is in the process of fundraising EWA II ($30 Mn target), seeking to invest in early stage companies, with disruptive models in which technology is an enabler to solve a socioeconomic condition related to education, healthcare, financial services and retail in LAC. Led by women, EWA Capital acknowledges the importance of women as end customers and their power and influence over consumer spending. Through a gender smart approach the Team is committed to obtaining high returns and shaping social change by backing entrepreneurs in developing industries.</v>
      </c>
      <c r="P52" s="1" t="str">
        <f>IFERROR(__xludf.DUMMYFUNCTION("""COMPUTED_VALUE"""),"Investing")</f>
        <v>Investing</v>
      </c>
      <c r="Q52" s="1"/>
      <c r="R52" s="1"/>
      <c r="S52" s="1"/>
      <c r="T52" s="1"/>
      <c r="U52" s="1"/>
      <c r="V52" s="1"/>
      <c r="W52" s="1"/>
      <c r="X52" s="1"/>
      <c r="Y52" s="1"/>
      <c r="Z52" s="1"/>
    </row>
    <row r="53">
      <c r="A53" s="1" t="str">
        <f>IFERROR(__xludf.DUMMYFUNCTION("""COMPUTED_VALUE"""),"Angels Nest")</f>
        <v>Angels Nest</v>
      </c>
      <c r="B53" s="1" t="str">
        <f>IFERROR(__xludf.DUMMYFUNCTION("""COMPUTED_VALUE"""),"Angel Investment Network")</f>
        <v>Angel Investment Network</v>
      </c>
      <c r="C53" s="7" t="str">
        <f>IFERROR(__xludf.DUMMYFUNCTION("""COMPUTED_VALUE"""),"https://angelsnest.lat/")</f>
        <v>https://angelsnest.lat/</v>
      </c>
      <c r="D53" s="1" t="str">
        <f>IFERROR(__xludf.DUMMYFUNCTION("""COMPUTED_VALUE"""),"Mexico")</f>
        <v>Mexico</v>
      </c>
      <c r="E53" s="1" t="str">
        <f>IFERROR(__xludf.DUMMYFUNCTION("""COMPUTED_VALUE"""),"Latam")</f>
        <v>Latam</v>
      </c>
      <c r="F53" s="1"/>
      <c r="G53" s="1" t="str">
        <f>IFERROR(__xludf.DUMMYFUNCTION("""COMPUTED_VALUE"""),"Y")</f>
        <v>Y</v>
      </c>
      <c r="H53" s="1"/>
      <c r="I53" s="1"/>
      <c r="J53" s="1"/>
      <c r="K53" s="2" t="str">
        <f>IFERROR(__xludf.DUMMYFUNCTION("""COMPUTED_VALUE"""),"Latam")</f>
        <v>Latam</v>
      </c>
      <c r="L53" s="2"/>
      <c r="M53" s="2"/>
      <c r="N53" s="3"/>
      <c r="O53" s="2" t="str">
        <f>IFERROR(__xludf.DUMMYFUNCTION("""COMPUTED_VALUE"""),"Angels Nest Holdings is an Angel Investor network that connects Startups and Scaleups. 
We invest in innovative and disruptive projects that are highly scalable.")</f>
        <v>Angels Nest Holdings is an Angel Investor network that connects Startups and Scaleups. 
We invest in innovative and disruptive projects that are highly scalable.</v>
      </c>
      <c r="P53" s="1"/>
      <c r="Q53" s="1"/>
      <c r="R53" s="1"/>
      <c r="S53" s="1"/>
      <c r="T53" s="1"/>
      <c r="U53" s="1"/>
      <c r="V53" s="1"/>
      <c r="W53" s="1"/>
      <c r="X53" s="1"/>
      <c r="Y53" s="1"/>
      <c r="Z53" s="1"/>
    </row>
    <row r="54">
      <c r="A54" s="1" t="str">
        <f>IFERROR(__xludf.DUMMYFUNCTION("""COMPUTED_VALUE"""),"Animo Ventures")</f>
        <v>Animo Ventures</v>
      </c>
      <c r="B54" s="1" t="str">
        <f>IFERROR(__xludf.DUMMYFUNCTION("""COMPUTED_VALUE"""),"Corporate Venture Fund")</f>
        <v>Corporate Venture Fund</v>
      </c>
      <c r="C54" s="7" t="str">
        <f>IFERROR(__xludf.DUMMYFUNCTION("""COMPUTED_VALUE"""),"https://animo.vc/")</f>
        <v>https://animo.vc/</v>
      </c>
      <c r="D54" s="1" t="str">
        <f>IFERROR(__xludf.DUMMYFUNCTION("""COMPUTED_VALUE"""),"United States of America")</f>
        <v>United States of America</v>
      </c>
      <c r="E54" s="1" t="str">
        <f>IFERROR(__xludf.DUMMYFUNCTION("""COMPUTED_VALUE"""),"United States of America")</f>
        <v>United States of America</v>
      </c>
      <c r="F54" s="1" t="str">
        <f>IFERROR(__xludf.DUMMYFUNCTION("""COMPUTED_VALUE"""),"Y")</f>
        <v>Y</v>
      </c>
      <c r="G54" s="1" t="str">
        <f>IFERROR(__xludf.DUMMYFUNCTION("""COMPUTED_VALUE"""),"Y")</f>
        <v>Y</v>
      </c>
      <c r="H54" s="1"/>
      <c r="I54" s="1"/>
      <c r="J54" s="1"/>
      <c r="K54" s="2" t="str">
        <f>IFERROR(__xludf.DUMMYFUNCTION("""COMPUTED_VALUE"""),"United States of America")</f>
        <v>United States of America</v>
      </c>
      <c r="L54" s="2" t="str">
        <f>IFERROR(__xludf.DUMMYFUNCTION("""COMPUTED_VALUE"""),"$500k to $2.5M")</f>
        <v>$500k to $2.5M</v>
      </c>
      <c r="M54" s="2"/>
      <c r="N54" s="3"/>
      <c r="O54" s="2" t="str">
        <f>IFERROR(__xludf.DUMMYFUNCTION("""COMPUTED_VALUE"""),"Animo Ventures is a seed fund investing across the US")</f>
        <v>Animo Ventures is a seed fund investing across the US</v>
      </c>
      <c r="P54" s="1"/>
      <c r="Q54" s="1"/>
      <c r="R54" s="1"/>
      <c r="S54" s="1"/>
      <c r="T54" s="1"/>
      <c r="U54" s="1"/>
      <c r="V54" s="1"/>
      <c r="W54" s="1"/>
      <c r="X54" s="1"/>
      <c r="Y54" s="1"/>
      <c r="Z54" s="1"/>
    </row>
    <row r="55">
      <c r="A55" s="1" t="str">
        <f>IFERROR(__xludf.DUMMYFUNCTION("""COMPUTED_VALUE"""),"Antler")</f>
        <v>Antler</v>
      </c>
      <c r="B55" s="1" t="str">
        <f>IFERROR(__xludf.DUMMYFUNCTION("""COMPUTED_VALUE"""),"Accelerator")</f>
        <v>Accelerator</v>
      </c>
      <c r="C55" s="7" t="str">
        <f>IFERROR(__xludf.DUMMYFUNCTION("""COMPUTED_VALUE"""),"https://www.antler.co/")</f>
        <v>https://www.antler.co/</v>
      </c>
      <c r="D55" s="1" t="str">
        <f>IFERROR(__xludf.DUMMYFUNCTION("""COMPUTED_VALUE"""),"Singapore")</f>
        <v>Singapore</v>
      </c>
      <c r="E55" s="1"/>
      <c r="F55" s="1"/>
      <c r="G55" s="1"/>
      <c r="H55" s="1"/>
      <c r="I55" s="1"/>
      <c r="J55" s="1"/>
      <c r="K55" s="2"/>
      <c r="L55" s="2"/>
      <c r="M55" s="2"/>
      <c r="N55" s="3"/>
      <c r="O55" s="2" t="str">
        <f>IFERROR(__xludf.DUMMYFUNCTION("""COMPUTED_VALUE"""),"Antler is a global early-stage venture capital firm that builds and invests in the defining technology companies of tomorrow.")</f>
        <v>Antler is a global early-stage venture capital firm that builds and invests in the defining technology companies of tomorrow.</v>
      </c>
      <c r="P55" s="1" t="str">
        <f>IFERROR(__xludf.DUMMYFUNCTION("""COMPUTED_VALUE"""),"??")</f>
        <v>??</v>
      </c>
      <c r="Q55" s="1"/>
      <c r="R55" s="1"/>
      <c r="S55" s="1"/>
      <c r="T55" s="1"/>
      <c r="U55" s="1"/>
      <c r="V55" s="1"/>
      <c r="W55" s="1"/>
      <c r="X55" s="1"/>
      <c r="Y55" s="1"/>
      <c r="Z55" s="1"/>
    </row>
    <row r="56">
      <c r="A56" s="1" t="str">
        <f>IFERROR(__xludf.DUMMYFUNCTION("""COMPUTED_VALUE"""),"Altaz Capital")</f>
        <v>Altaz Capital</v>
      </c>
      <c r="B56" s="1" t="str">
        <f>IFERROR(__xludf.DUMMYFUNCTION("""COMPUTED_VALUE"""),"Venture Capital Fund")</f>
        <v>Venture Capital Fund</v>
      </c>
      <c r="C56" s="7" t="str">
        <f>IFERROR(__xludf.DUMMYFUNCTION("""COMPUTED_VALUE"""),"https://altazcapital.com/")</f>
        <v>https://altazcapital.com/</v>
      </c>
      <c r="D56" s="1" t="str">
        <f>IFERROR(__xludf.DUMMYFUNCTION("""COMPUTED_VALUE"""),"Portugal")</f>
        <v>Portugal</v>
      </c>
      <c r="E56" s="1" t="str">
        <f>IFERROR(__xludf.DUMMYFUNCTION("""COMPUTED_VALUE"""),"Spain, Portugal, Andorra and Giblartar")</f>
        <v>Spain, Portugal, Andorra and Giblartar</v>
      </c>
      <c r="F56" s="1"/>
      <c r="G56" s="1"/>
      <c r="H56" s="1"/>
      <c r="I56" s="1"/>
      <c r="J56" s="1"/>
      <c r="K56" s="2" t="str">
        <f>IFERROR(__xludf.DUMMYFUNCTION("""COMPUTED_VALUE"""),"Spain, Portugal, Andorra and Giblartar")</f>
        <v>Spain, Portugal, Andorra and Giblartar</v>
      </c>
      <c r="L56" s="2"/>
      <c r="M56" s="2"/>
      <c r="N56" s="3"/>
      <c r="O56" s="2" t="str">
        <f>IFERROR(__xludf.DUMMYFUNCTION("""COMPUTED_VALUE"""),"Altaz Capital is an Investor that aims to identify, acquire, and operate high-quality companies in Iberia. We are targeting established and profitable businesses positioned for global expansion and aim to unlock value through operational excellence.")</f>
        <v>Altaz Capital is an Investor that aims to identify, acquire, and operate high-quality companies in Iberia. We are targeting established and profitable businesses positioned for global expansion and aim to unlock value through operational excellence.</v>
      </c>
      <c r="P56" s="1" t="str">
        <f>IFERROR(__xludf.DUMMYFUNCTION("""COMPUTED_VALUE"""),"??")</f>
        <v>??</v>
      </c>
      <c r="Q56" s="1"/>
      <c r="R56" s="1"/>
      <c r="S56" s="1"/>
      <c r="T56" s="1"/>
      <c r="U56" s="1"/>
      <c r="V56" s="1"/>
      <c r="W56" s="1"/>
      <c r="X56" s="1"/>
      <c r="Y56" s="1"/>
      <c r="Z56" s="1"/>
    </row>
    <row r="57">
      <c r="A57" s="1" t="str">
        <f>IFERROR(__xludf.DUMMYFUNCTION("""COMPUTED_VALUE"""),"Aqua.Investments Fund")</f>
        <v>Aqua.Investments Fund</v>
      </c>
      <c r="B57" s="1" t="str">
        <f>IFERROR(__xludf.DUMMYFUNCTION("""COMPUTED_VALUE"""),"Venture Capital")</f>
        <v>Venture Capital</v>
      </c>
      <c r="C57" s="1"/>
      <c r="D57" s="1" t="str">
        <f>IFERROR(__xludf.DUMMYFUNCTION("""COMPUTED_VALUE"""),"Mexico")</f>
        <v>Mexico</v>
      </c>
      <c r="E57" s="1"/>
      <c r="F57" s="1"/>
      <c r="G57" s="1"/>
      <c r="H57" s="1"/>
      <c r="I57" s="1"/>
      <c r="J57" s="1"/>
      <c r="K57" s="2"/>
      <c r="L57" s="2"/>
      <c r="M57" s="2"/>
      <c r="N57" s="3"/>
      <c r="O57" s="2"/>
      <c r="P57" s="1"/>
      <c r="Q57" s="1"/>
      <c r="R57" s="1"/>
      <c r="S57" s="1"/>
      <c r="T57" s="1"/>
      <c r="U57" s="1"/>
      <c r="V57" s="1"/>
      <c r="W57" s="1"/>
      <c r="X57" s="1"/>
      <c r="Y57" s="1"/>
      <c r="Z57" s="1"/>
    </row>
    <row r="58">
      <c r="A58" s="1" t="str">
        <f>IFERROR(__xludf.DUMMYFUNCTION("""COMPUTED_VALUE"""),"Arc Labs")</f>
        <v>Arc Labs</v>
      </c>
      <c r="B58" s="1" t="str">
        <f>IFERROR(__xludf.DUMMYFUNCTION("""COMPUTED_VALUE"""),"Credit Fund")</f>
        <v>Credit Fund</v>
      </c>
      <c r="C58" s="7" t="str">
        <f>IFERROR(__xludf.DUMMYFUNCTION("""COMPUTED_VALUE"""),"https://www.arclabs.co/")</f>
        <v>https://www.arclabs.co/</v>
      </c>
      <c r="D58" s="1" t="str">
        <f>IFERROR(__xludf.DUMMYFUNCTION("""COMPUTED_VALUE"""),"United States of America")</f>
        <v>United States of America</v>
      </c>
      <c r="E58" s="1"/>
      <c r="F58" s="1"/>
      <c r="G58" s="1" t="str">
        <f>IFERROR(__xludf.DUMMYFUNCTION("""COMPUTED_VALUE"""),"Y")</f>
        <v>Y</v>
      </c>
      <c r="H58" s="1" t="str">
        <f>IFERROR(__xludf.DUMMYFUNCTION("""COMPUTED_VALUE"""),"Y")</f>
        <v>Y</v>
      </c>
      <c r="I58" s="1"/>
      <c r="J58" s="1"/>
      <c r="K58" s="2"/>
      <c r="L58" s="2"/>
      <c r="M58" s="2"/>
      <c r="N58" s="3"/>
      <c r="O58" s="2" t="str">
        <f>IFERROR(__xludf.DUMMYFUNCTION("""COMPUTED_VALUE"""),"Arc Labs is an early-stage credit fund focused on lending to technology-enabled businesses.
Technology has created a host of new loan products and business models that are difficult for traditional lenders to underwrite. Arc provides creative debt capita"&amp;"l to finance these products and businesses.
Our facilities range from $5MM-$30MM and we typically work with Seed to Series A stage companies or private SaaS companies generating under $10MM in EBITDA.")</f>
        <v>Arc Labs is an early-stage credit fund focused on lending to technology-enabled businesses.
Technology has created a host of new loan products and business models that are difficult for traditional lenders to underwrite. Arc provides creative debt capital to finance these products and businesses.
Our facilities range from $5MM-$30MM and we typically work with Seed to Series A stage companies or private SaaS companies generating under $10MM in EBITDA.</v>
      </c>
      <c r="P58" s="1"/>
      <c r="Q58" s="1"/>
      <c r="R58" s="1"/>
      <c r="S58" s="1"/>
      <c r="T58" s="1"/>
      <c r="U58" s="1"/>
      <c r="V58" s="1"/>
      <c r="W58" s="1"/>
      <c r="X58" s="1"/>
      <c r="Y58" s="1"/>
      <c r="Z58" s="1"/>
    </row>
    <row r="59">
      <c r="A59" s="1" t="str">
        <f>IFERROR(__xludf.DUMMYFUNCTION("""COMPUTED_VALUE"""),"Archipelago Global")</f>
        <v>Archipelago Global</v>
      </c>
      <c r="B59" s="1" t="str">
        <f>IFERROR(__xludf.DUMMYFUNCTION("""COMPUTED_VALUE"""),"Venture Capital Fund")</f>
        <v>Venture Capital Fund</v>
      </c>
      <c r="C59" s="7" t="str">
        <f>IFERROR(__xludf.DUMMYFUNCTION("""COMPUTED_VALUE"""),"http://www.archipelago.global/")</f>
        <v>http://www.archipelago.global/</v>
      </c>
      <c r="D59" s="1" t="str">
        <f>IFERROR(__xludf.DUMMYFUNCTION("""COMPUTED_VALUE"""),"United States of America")</f>
        <v>United States of America</v>
      </c>
      <c r="E59" s="1"/>
      <c r="F59" s="1"/>
      <c r="G59" s="1"/>
      <c r="H59" s="1"/>
      <c r="I59" s="1"/>
      <c r="J59" s="1"/>
      <c r="K59" s="2"/>
      <c r="L59" s="2"/>
      <c r="M59" s="2"/>
      <c r="N59" s="3"/>
      <c r="O59" s="2" t="str">
        <f>IFERROR(__xludf.DUMMYFUNCTION("""COMPUTED_VALUE"""),"A next-generation venture capital firm")</f>
        <v>A next-generation venture capital firm</v>
      </c>
      <c r="P59" s="1" t="str">
        <f>IFERROR(__xludf.DUMMYFUNCTION("""COMPUTED_VALUE"""),"Closed")</f>
        <v>Closed</v>
      </c>
      <c r="Q59" s="1"/>
      <c r="R59" s="1"/>
      <c r="S59" s="1"/>
      <c r="T59" s="1"/>
      <c r="U59" s="1"/>
      <c r="V59" s="1"/>
      <c r="W59" s="1"/>
      <c r="X59" s="1"/>
      <c r="Y59" s="1"/>
      <c r="Z59" s="1"/>
    </row>
    <row r="60">
      <c r="A60" s="1" t="str">
        <f>IFERROR(__xludf.DUMMYFUNCTION("""COMPUTED_VALUE"""),"MarsBio Fund")</f>
        <v>MarsBio Fund</v>
      </c>
      <c r="B60" s="1"/>
      <c r="C60" s="1"/>
      <c r="D60" s="1" t="str">
        <f>IFERROR(__xludf.DUMMYFUNCTION("""COMPUTED_VALUE"""),"United States of America")</f>
        <v>United States of America</v>
      </c>
      <c r="E60" s="1"/>
      <c r="F60" s="1"/>
      <c r="G60" s="1"/>
      <c r="H60" s="1"/>
      <c r="I60" s="1"/>
      <c r="J60" s="1"/>
      <c r="K60" s="2"/>
      <c r="L60" s="2"/>
      <c r="M60" s="2"/>
      <c r="N60" s="3"/>
      <c r="O60" s="2"/>
      <c r="P60" s="1"/>
      <c r="Q60" s="1"/>
      <c r="R60" s="1"/>
      <c r="S60" s="1"/>
      <c r="T60" s="1"/>
      <c r="U60" s="1"/>
      <c r="V60" s="1"/>
      <c r="W60" s="1"/>
      <c r="X60" s="1"/>
      <c r="Y60" s="1"/>
      <c r="Z60" s="1"/>
    </row>
    <row r="61">
      <c r="A61" s="1" t="str">
        <f>IFERROR(__xludf.DUMMYFUNCTION("""COMPUTED_VALUE"""),"Catorce Ventures")</f>
        <v>Catorce Ventures</v>
      </c>
      <c r="B61" s="1" t="str">
        <f>IFERROR(__xludf.DUMMYFUNCTION("""COMPUTED_VALUE"""),"Venture Capital Fund")</f>
        <v>Venture Capital Fund</v>
      </c>
      <c r="C61" s="7" t="str">
        <f>IFERROR(__xludf.DUMMYFUNCTION("""COMPUTED_VALUE"""),"https://www.catorceventures.com/")</f>
        <v>https://www.catorceventures.com/</v>
      </c>
      <c r="D61" s="1" t="str">
        <f>IFERROR(__xludf.DUMMYFUNCTION("""COMPUTED_VALUE"""),"United States of America")</f>
        <v>United States of America</v>
      </c>
      <c r="E61" s="1"/>
      <c r="F61" s="1"/>
      <c r="G61" s="1"/>
      <c r="H61" s="1"/>
      <c r="I61" s="1"/>
      <c r="J61" s="1"/>
      <c r="K61" s="2"/>
      <c r="L61" s="2"/>
      <c r="M61" s="2" t="str">
        <f>IFERROR(__xludf.DUMMYFUNCTION("""COMPUTED_VALUE"""),"FinTech/Payments, Digital Commerce, Cybersecurity &amp; Supply Chain.")</f>
        <v>FinTech/Payments, Digital Commerce, Cybersecurity &amp; Supply Chain.</v>
      </c>
      <c r="N61" s="3"/>
      <c r="O61" s="2" t="str">
        <f>IFERROR(__xludf.DUMMYFUNCTION("""COMPUTED_VALUE"""),"We partner with entrepreneurs
to help them build successful &amp; scalable companies.")</f>
        <v>We partner with entrepreneurs
to help them build successful &amp; scalable companies.</v>
      </c>
      <c r="P61" s="1"/>
      <c r="Q61" s="1"/>
      <c r="R61" s="1"/>
      <c r="S61" s="1"/>
      <c r="T61" s="1"/>
      <c r="U61" s="1"/>
      <c r="V61" s="1"/>
      <c r="W61" s="1"/>
      <c r="X61" s="1"/>
      <c r="Y61" s="1"/>
      <c r="Z61" s="1"/>
    </row>
    <row r="62">
      <c r="A62" s="1" t="str">
        <f>IFERROR(__xludf.DUMMYFUNCTION("""COMPUTED_VALUE"""),"arfintech")</f>
        <v>arfintech</v>
      </c>
      <c r="B62" s="1" t="str">
        <f>IFERROR(__xludf.DUMMYFUNCTION("""COMPUTED_VALUE"""),"Venture Capital Fund")</f>
        <v>Venture Capital Fund</v>
      </c>
      <c r="C62" s="7" t="str">
        <f>IFERROR(__xludf.DUMMYFUNCTION("""COMPUTED_VALUE"""),"https://www.arfintech.com.ar/")</f>
        <v>https://www.arfintech.com.ar/</v>
      </c>
      <c r="D62" s="1" t="str">
        <f>IFERROR(__xludf.DUMMYFUNCTION("""COMPUTED_VALUE"""),"Argentina")</f>
        <v>Argentina</v>
      </c>
      <c r="E62" s="1"/>
      <c r="F62" s="1"/>
      <c r="G62" s="1"/>
      <c r="H62" s="1"/>
      <c r="I62" s="1"/>
      <c r="J62" s="1"/>
      <c r="K62" s="2"/>
      <c r="L62" s="2"/>
      <c r="M62" s="2" t="str">
        <f>IFERROR(__xludf.DUMMYFUNCTION("""COMPUTED_VALUE"""),"Finance")</f>
        <v>Finance</v>
      </c>
      <c r="N62" s="3"/>
      <c r="O62" s="2" t="str">
        <f>IFERROR(__xludf.DUMMYFUNCTION("""COMPUTED_VALUE"""),"Investment Fund for Fintech Startups.
We seek that banks and participants of the financial system are an active part of this development process, being engines of it as sources of financing, promotion, training and mentoring, through a collaborative model"&amp;".
Our mission is to build, through ArFintech, a collaboration and learning tool between traditional banking and new players that seek to redefine the financial services market through technology-based products and with agile models of development and imp"&amp;"lementation.")</f>
        <v>Investment Fund for Fintech Startups.
We seek that banks and participants of the financial system are an active part of this development process, being engines of it as sources of financing, promotion, training and mentoring, through a collaborative model.
Our mission is to build, through ArFintech, a collaboration and learning tool between traditional banking and new players that seek to redefine the financial services market through technology-based products and with agile models of development and implementation.</v>
      </c>
      <c r="P62" s="1"/>
      <c r="Q62" s="1"/>
      <c r="R62" s="1"/>
      <c r="S62" s="1"/>
      <c r="T62" s="1"/>
      <c r="U62" s="1"/>
      <c r="V62" s="1"/>
      <c r="W62" s="1"/>
      <c r="X62" s="1"/>
      <c r="Y62" s="1"/>
      <c r="Z62" s="1"/>
    </row>
    <row r="63">
      <c r="A63" s="1" t="str">
        <f>IFERROR(__xludf.DUMMYFUNCTION("""COMPUTED_VALUE"""),"Argo Ventures")</f>
        <v>Argo Ventures</v>
      </c>
      <c r="B63" s="1" t="str">
        <f>IFERROR(__xludf.DUMMYFUNCTION("""COMPUTED_VALUE"""),"Corporate Venture Fund")</f>
        <v>Corporate Venture Fund</v>
      </c>
      <c r="C63" s="1"/>
      <c r="D63" s="1" t="str">
        <f>IFERROR(__xludf.DUMMYFUNCTION("""COMPUTED_VALUE"""),"United States of America")</f>
        <v>United States of America</v>
      </c>
      <c r="E63" s="1"/>
      <c r="F63" s="1" t="str">
        <f>IFERROR(__xludf.DUMMYFUNCTION("""COMPUTED_VALUE"""),"Y")</f>
        <v>Y</v>
      </c>
      <c r="G63" s="1" t="str">
        <f>IFERROR(__xludf.DUMMYFUNCTION("""COMPUTED_VALUE"""),"Y")</f>
        <v>Y</v>
      </c>
      <c r="H63" s="1" t="str">
        <f>IFERROR(__xludf.DUMMYFUNCTION("""COMPUTED_VALUE"""),"Y")</f>
        <v>Y</v>
      </c>
      <c r="I63" s="1" t="str">
        <f>IFERROR(__xludf.DUMMYFUNCTION("""COMPUTED_VALUE"""),"Y")</f>
        <v>Y</v>
      </c>
      <c r="J63" s="1" t="str">
        <f>IFERROR(__xludf.DUMMYFUNCTION("""COMPUTED_VALUE"""),"Y")</f>
        <v>Y</v>
      </c>
      <c r="K63" s="2"/>
      <c r="L63" s="2"/>
      <c r="M63" s="2" t="str">
        <f>IFERROR(__xludf.DUMMYFUNCTION("""COMPUTED_VALUE"""),"Payments, Technology, Credit Card, Payment Facilitation, Blockchain, Investing, Business Development, Mergers and Acquisitions, Team Building, Growth, Payment Technology, DLT y Cryptocurrency")</f>
        <v>Payments, Technology, Credit Card, Payment Facilitation, Blockchain, Investing, Business Development, Mergers and Acquisitions, Team Building, Growth, Payment Technology, DLT y Cryptocurrency</v>
      </c>
      <c r="N63" s="3"/>
      <c r="O63" s="2" t="str">
        <f>IFERROR(__xludf.DUMMYFUNCTION("""COMPUTED_VALUE"""),"We believe in growing payments companies through a build, buy and invest strategy.")</f>
        <v>We believe in growing payments companies through a build, buy and invest strategy.</v>
      </c>
      <c r="P63" s="1"/>
      <c r="Q63" s="1"/>
      <c r="R63" s="1"/>
      <c r="S63" s="1"/>
      <c r="T63" s="1"/>
      <c r="U63" s="1"/>
      <c r="V63" s="1"/>
      <c r="W63" s="1"/>
      <c r="X63" s="1"/>
      <c r="Y63" s="1"/>
      <c r="Z63" s="1"/>
    </row>
    <row r="64">
      <c r="A64" s="1" t="str">
        <f>IFERROR(__xludf.DUMMYFUNCTION("""COMPUTED_VALUE"""),"ArkFund")</f>
        <v>ArkFund</v>
      </c>
      <c r="B64" s="1" t="str">
        <f>IFERROR(__xludf.DUMMYFUNCTION("""COMPUTED_VALUE"""),"Venture Capital Fund")</f>
        <v>Venture Capital Fund</v>
      </c>
      <c r="C64" s="7" t="str">
        <f>IFERROR(__xludf.DUMMYFUNCTION("""COMPUTED_VALUE"""),"https://www.arkfund.co/")</f>
        <v>https://www.arkfund.co/</v>
      </c>
      <c r="D64" s="1" t="str">
        <f>IFERROR(__xludf.DUMMYFUNCTION("""COMPUTED_VALUE"""),"Mexico")</f>
        <v>Mexico</v>
      </c>
      <c r="E64" s="1" t="str">
        <f>IFERROR(__xludf.DUMMYFUNCTION("""COMPUTED_VALUE"""),"Latam")</f>
        <v>Latam</v>
      </c>
      <c r="F64" s="1" t="str">
        <f>IFERROR(__xludf.DUMMYFUNCTION("""COMPUTED_VALUE"""),"Y")</f>
        <v>Y</v>
      </c>
      <c r="G64" s="1" t="str">
        <f>IFERROR(__xludf.DUMMYFUNCTION("""COMPUTED_VALUE"""),"Y")</f>
        <v>Y</v>
      </c>
      <c r="H64" s="1"/>
      <c r="I64" s="1"/>
      <c r="J64" s="1"/>
      <c r="K64" s="2" t="str">
        <f>IFERROR(__xludf.DUMMYFUNCTION("""COMPUTED_VALUE"""),"Latam")</f>
        <v>Latam</v>
      </c>
      <c r="L64" s="2"/>
      <c r="M64" s="2"/>
      <c r="N64" s="3"/>
      <c r="O64" s="2" t="str">
        <f>IFERROR(__xludf.DUMMYFUNCTION("""COMPUTED_VALUE"""),"Founded in 2016, the ark.fund seeks to transform the traditional venture capital industry in Mexico and Latin America.
We focus on diversifying the portfolio to minimize risk and increase the likelihood of exponential returns.
We are looking for investo"&amp;"rs who bet on innovation so that together we impact the world and improve our quality of life.")</f>
        <v>Founded in 2016, the ark.fund seeks to transform the traditional venture capital industry in Mexico and Latin America.
We focus on diversifying the portfolio to minimize risk and increase the likelihood of exponential returns.
We are looking for investors who bet on innovation so that together we impact the world and improve our quality of life.</v>
      </c>
      <c r="P64" s="1" t="str">
        <f>IFERROR(__xludf.DUMMYFUNCTION("""COMPUTED_VALUE"""),"Investing")</f>
        <v>Investing</v>
      </c>
      <c r="Q64" s="1"/>
      <c r="R64" s="1"/>
      <c r="S64" s="1"/>
      <c r="T64" s="1"/>
      <c r="U64" s="1"/>
      <c r="V64" s="1"/>
      <c r="W64" s="1"/>
      <c r="X64" s="1"/>
      <c r="Y64" s="1"/>
      <c r="Z64" s="1"/>
    </row>
    <row r="65">
      <c r="A65" s="1" t="str">
        <f>IFERROR(__xludf.DUMMYFUNCTION("""COMPUTED_VALUE"""),"Armorum Venture Capital")</f>
        <v>Armorum Venture Capital</v>
      </c>
      <c r="B65" s="1" t="str">
        <f>IFERROR(__xludf.DUMMYFUNCTION("""COMPUTED_VALUE"""),"Venture Capital Fund")</f>
        <v>Venture Capital Fund</v>
      </c>
      <c r="C65" s="7" t="str">
        <f>IFERROR(__xludf.DUMMYFUNCTION("""COMPUTED_VALUE"""),"http://www.armorumvc.com/")</f>
        <v>http://www.armorumvc.com/</v>
      </c>
      <c r="D65" s="1" t="str">
        <f>IFERROR(__xludf.DUMMYFUNCTION("""COMPUTED_VALUE"""),"United States of America")</f>
        <v>United States of America</v>
      </c>
      <c r="E65" s="1"/>
      <c r="F65" s="1"/>
      <c r="G65" s="1" t="str">
        <f>IFERROR(__xludf.DUMMYFUNCTION("""COMPUTED_VALUE"""),"Y")</f>
        <v>Y</v>
      </c>
      <c r="H65" s="1"/>
      <c r="I65" s="1"/>
      <c r="J65" s="1"/>
      <c r="K65" s="2"/>
      <c r="L65" s="2"/>
      <c r="M65" s="2" t="str">
        <f>IFERROR(__xludf.DUMMYFUNCTION("""COMPUTED_VALUE"""),"General")</f>
        <v>General</v>
      </c>
      <c r="N65" s="3"/>
      <c r="O65" s="2" t="str">
        <f>IFERROR(__xludf.DUMMYFUNCTION("""COMPUTED_VALUE"""),"A Venture Capital Private Equity company focus on the very early stage of new ideas to improve or solve different problems at business through the use of Information Technology (Artificial Intelligence, IoT, Machine Learning and Business Intelligence).")</f>
        <v>A Venture Capital Private Equity company focus on the very early stage of new ideas to improve or solve different problems at business through the use of Information Technology (Artificial Intelligence, IoT, Machine Learning and Business Intelligence).</v>
      </c>
      <c r="P65" s="1"/>
      <c r="Q65" s="1"/>
      <c r="R65" s="1"/>
      <c r="S65" s="1"/>
      <c r="T65" s="1"/>
      <c r="U65" s="1"/>
      <c r="V65" s="1"/>
      <c r="W65" s="1"/>
      <c r="X65" s="1"/>
      <c r="Y65" s="1"/>
      <c r="Z65" s="1"/>
    </row>
    <row r="66">
      <c r="A66" s="1" t="str">
        <f>IFERROR(__xludf.DUMMYFUNCTION("""COMPUTED_VALUE"""),"Artha Partners")</f>
        <v>Artha Partners</v>
      </c>
      <c r="B66" s="1" t="str">
        <f>IFERROR(__xludf.DUMMYFUNCTION("""COMPUTED_VALUE"""),"Venture Capital Fund")</f>
        <v>Venture Capital Fund</v>
      </c>
      <c r="C66" s="7" t="str">
        <f>IFERROR(__xludf.DUMMYFUNCTION("""COMPUTED_VALUE"""),"http://www.artha-partners.com/")</f>
        <v>http://www.artha-partners.com/</v>
      </c>
      <c r="D66" s="1" t="str">
        <f>IFERROR(__xludf.DUMMYFUNCTION("""COMPUTED_VALUE"""),"United Kingdom")</f>
        <v>United Kingdom</v>
      </c>
      <c r="E66" s="1"/>
      <c r="F66" s="1"/>
      <c r="G66" s="1"/>
      <c r="H66" s="1"/>
      <c r="I66" s="1"/>
      <c r="J66" s="1"/>
      <c r="K66" s="2"/>
      <c r="L66" s="2"/>
      <c r="M66" s="2"/>
      <c r="N66" s="3"/>
      <c r="O66" s="2" t="str">
        <f>IFERROR(__xludf.DUMMYFUNCTION("""COMPUTED_VALUE"""),"Artha Partners is a specialist firm focused on providing advisory and fundraising services to emerging markets focused asset managers.")</f>
        <v>Artha Partners is a specialist firm focused on providing advisory and fundraising services to emerging markets focused asset managers.</v>
      </c>
      <c r="P66" s="1" t="str">
        <f>IFERROR(__xludf.DUMMYFUNCTION("""COMPUTED_VALUE"""),"??")</f>
        <v>??</v>
      </c>
      <c r="Q66" s="1"/>
      <c r="R66" s="1"/>
      <c r="S66" s="1"/>
      <c r="T66" s="1"/>
      <c r="U66" s="1"/>
      <c r="V66" s="1"/>
      <c r="W66" s="1"/>
      <c r="X66" s="1"/>
      <c r="Y66" s="1"/>
      <c r="Z66" s="1"/>
    </row>
    <row r="67">
      <c r="A67" s="1" t="str">
        <f>IFERROR(__xludf.DUMMYFUNCTION("""COMPUTED_VALUE"""),"Arpegio")</f>
        <v>Arpegio</v>
      </c>
      <c r="B67" s="1" t="str">
        <f>IFERROR(__xludf.DUMMYFUNCTION("""COMPUTED_VALUE"""),"Venture Capital Fund")</f>
        <v>Venture Capital Fund</v>
      </c>
      <c r="C67" s="7" t="str">
        <f>IFERROR(__xludf.DUMMYFUNCTION("""COMPUTED_VALUE"""),"https://arpegio.vc/")</f>
        <v>https://arpegio.vc/</v>
      </c>
      <c r="D67" s="1" t="str">
        <f>IFERROR(__xludf.DUMMYFUNCTION("""COMPUTED_VALUE"""),"United States of America")</f>
        <v>United States of America</v>
      </c>
      <c r="E67" s="1" t="str">
        <f>IFERROR(__xludf.DUMMYFUNCTION("""COMPUTED_VALUE"""),"Latam")</f>
        <v>Latam</v>
      </c>
      <c r="F67" s="1"/>
      <c r="G67" s="1" t="str">
        <f>IFERROR(__xludf.DUMMYFUNCTION("""COMPUTED_VALUE"""),"Y")</f>
        <v>Y</v>
      </c>
      <c r="H67" s="1"/>
      <c r="I67" s="1"/>
      <c r="J67" s="1"/>
      <c r="K67" s="2" t="str">
        <f>IFERROR(__xludf.DUMMYFUNCTION("""COMPUTED_VALUE"""),"Latam")</f>
        <v>Latam</v>
      </c>
      <c r="L67" s="2" t="str">
        <f>IFERROR(__xludf.DUMMYFUNCTION("""COMPUTED_VALUE"""),"100k - 250k")</f>
        <v>100k - 250k</v>
      </c>
      <c r="M67" s="2" t="str">
        <f>IFERROR(__xludf.DUMMYFUNCTION("""COMPUTED_VALUE"""),"FoodTech, Agriculture")</f>
        <v>FoodTech, Agriculture</v>
      </c>
      <c r="N67" s="3"/>
      <c r="O67" s="2" t="str">
        <f>IFERROR(__xludf.DUMMYFUNCTION("""COMPUTED_VALUE"""),"Arpegio's model is based on developing and strengthening a tight network of industry leaders, in Latin America and around the world, who are working in food, agriculture and related fields. This allows us to complement our capital investments in early sta"&amp;"ge ventures, with connections to individuals and companies that can help startups identify real pain points, reach the market quickly and broadly, facilitate faster growth through partnerships or investments, and even generate exit opportunities for our p"&amp;"ortfolio companies.")</f>
        <v>Arpegio's model is based on developing and strengthening a tight network of industry leaders, in Latin America and around the world, who are working in food, agriculture and related fields. This allows us to complement our capital investments in early stage ventures, with connections to individuals and companies that can help startups identify real pain points, reach the market quickly and broadly, facilitate faster growth through partnerships or investments, and even generate exit opportunities for our portfolio companies.</v>
      </c>
      <c r="P67" s="1"/>
      <c r="Q67" s="1"/>
      <c r="R67" s="1"/>
      <c r="S67" s="1"/>
      <c r="T67" s="1"/>
      <c r="U67" s="1"/>
      <c r="V67" s="1"/>
      <c r="W67" s="1"/>
      <c r="X67" s="1"/>
      <c r="Y67" s="1"/>
      <c r="Z67" s="1"/>
    </row>
    <row r="68">
      <c r="A68" s="1" t="str">
        <f>IFERROR(__xludf.DUMMYFUNCTION("""COMPUTED_VALUE"""),"Astella Investimentos")</f>
        <v>Astella Investimentos</v>
      </c>
      <c r="B68" s="1" t="str">
        <f>IFERROR(__xludf.DUMMYFUNCTION("""COMPUTED_VALUE"""),"Venture Capital Fund")</f>
        <v>Venture Capital Fund</v>
      </c>
      <c r="C68" s="7" t="str">
        <f>IFERROR(__xludf.DUMMYFUNCTION("""COMPUTED_VALUE"""),"https://astellainvest.com/")</f>
        <v>https://astellainvest.com/</v>
      </c>
      <c r="D68" s="1" t="str">
        <f>IFERROR(__xludf.DUMMYFUNCTION("""COMPUTED_VALUE"""),"Brazil")</f>
        <v>Brazil</v>
      </c>
      <c r="E68" s="1" t="str">
        <f>IFERROR(__xludf.DUMMYFUNCTION("""COMPUTED_VALUE"""),"Brazil")</f>
        <v>Brazil</v>
      </c>
      <c r="F68" s="1" t="str">
        <f>IFERROR(__xludf.DUMMYFUNCTION("""COMPUTED_VALUE"""),"Y")</f>
        <v>Y</v>
      </c>
      <c r="G68" s="1" t="str">
        <f>IFERROR(__xludf.DUMMYFUNCTION("""COMPUTED_VALUE"""),"Y")</f>
        <v>Y</v>
      </c>
      <c r="H68" s="1" t="str">
        <f>IFERROR(__xludf.DUMMYFUNCTION("""COMPUTED_VALUE"""),"Y")</f>
        <v>Y</v>
      </c>
      <c r="I68" s="1"/>
      <c r="J68" s="1"/>
      <c r="K68" s="2" t="str">
        <f>IFERROR(__xludf.DUMMYFUNCTION("""COMPUTED_VALUE"""),"Brazil")</f>
        <v>Brazil</v>
      </c>
      <c r="L68" s="2"/>
      <c r="M68" s="2" t="str">
        <f>IFERROR(__xludf.DUMMYFUNCTION("""COMPUTED_VALUE"""),"SaaS, Marketplace &amp; consumer")</f>
        <v>SaaS, Marketplace &amp; consumer</v>
      </c>
      <c r="N68" s="3"/>
      <c r="O68" s="2" t="str">
        <f>IFERROR(__xludf.DUMMYFUNCTION("""COMPUTED_VALUE"""),"We invest in early-stage companies that innovate across critical sectors in Brazil. Our mission is to empower founders to build sustainable and impactful businesses, leveraged by the massive growth opportunities in the country.")</f>
        <v>We invest in early-stage companies that innovate across critical sectors in Brazil. Our mission is to empower founders to build sustainable and impactful businesses, leveraged by the massive growth opportunities in the country.</v>
      </c>
      <c r="P68" s="1"/>
      <c r="Q68" s="1"/>
      <c r="R68" s="1"/>
      <c r="S68" s="1"/>
      <c r="T68" s="1"/>
      <c r="U68" s="1"/>
      <c r="V68" s="1"/>
      <c r="W68" s="1"/>
      <c r="X68" s="1"/>
      <c r="Y68" s="1"/>
      <c r="Z68" s="1"/>
    </row>
    <row r="69">
      <c r="A69" s="1" t="str">
        <f>IFERROR(__xludf.DUMMYFUNCTION("""COMPUTED_VALUE"""),"Ataria")</f>
        <v>Ataria</v>
      </c>
      <c r="B69" s="1" t="str">
        <f>IFERROR(__xludf.DUMMYFUNCTION("""COMPUTED_VALUE"""),"Venture Capital Fund and Corporate Venture Capital")</f>
        <v>Venture Capital Fund and Corporate Venture Capital</v>
      </c>
      <c r="C69" s="7" t="str">
        <f>IFERROR(__xludf.DUMMYFUNCTION("""COMPUTED_VALUE"""),"https://www.atariaventures.com/")</f>
        <v>https://www.atariaventures.com/</v>
      </c>
      <c r="D69" s="1" t="str">
        <f>IFERROR(__xludf.DUMMYFUNCTION("""COMPUTED_VALUE"""),"Peru")</f>
        <v>Peru</v>
      </c>
      <c r="E69" s="1"/>
      <c r="F69" s="1"/>
      <c r="G69" s="1"/>
      <c r="H69" s="1"/>
      <c r="I69" s="1"/>
      <c r="J69" s="1"/>
      <c r="K69" s="2"/>
      <c r="L69" s="2"/>
      <c r="M69" s="2" t="str">
        <f>IFERROR(__xludf.DUMMYFUNCTION("""COMPUTED_VALUE"""),"Artificial Intelligence, Big Data, Virtual Reality, FoodTech, AgriTech, Consumer, and Health.")</f>
        <v>Artificial Intelligence, Big Data, Virtual Reality, FoodTech, AgriTech, Consumer, and Health.</v>
      </c>
      <c r="N69" s="3"/>
      <c r="O69" s="2" t="str">
        <f>IFERROR(__xludf.DUMMYFUNCTION("""COMPUTED_VALUE"""),"Ataria Ventures is an early stage fund that offers Latin American investors and corporations access to technology startups around the world. We co-invest alongside top venture capital firms and accelerators, eager to offer their portfolio companies access"&amp;" to the Latin American market. Our startups solve fundamental challenges, by leveraging on the rise of exponential technologies and human connectivity. We look for bold entrepreneurs, who push the edge of what's possible.
Ataria Ventures invests across a"&amp;" variety of industries and sectors, including Artificial Intelligence, Big Data, Virtual Reality, FoodTech, AgriTech, Consumer, and Health.")</f>
        <v>Ataria Ventures is an early stage fund that offers Latin American investors and corporations access to technology startups around the world. We co-invest alongside top venture capital firms and accelerators, eager to offer their portfolio companies access to the Latin American market. Our startups solve fundamental challenges, by leveraging on the rise of exponential technologies and human connectivity. We look for bold entrepreneurs, who push the edge of what's possible.
Ataria Ventures invests across a variety of industries and sectors, including Artificial Intelligence, Big Data, Virtual Reality, FoodTech, AgriTech, Consumer, and Health.</v>
      </c>
      <c r="P69" s="1"/>
      <c r="Q69" s="1"/>
      <c r="R69" s="1"/>
      <c r="S69" s="1"/>
      <c r="T69" s="1"/>
      <c r="U69" s="1"/>
      <c r="V69" s="1"/>
      <c r="W69" s="1"/>
      <c r="X69" s="1"/>
      <c r="Y69" s="1"/>
      <c r="Z69" s="1"/>
    </row>
    <row r="70">
      <c r="A70" s="1" t="str">
        <f>IFERROR(__xludf.DUMMYFUNCTION("""COMPUTED_VALUE"""),"Towa Partners")</f>
        <v>Towa Partners</v>
      </c>
      <c r="B70" s="1" t="str">
        <f>IFERROR(__xludf.DUMMYFUNCTION("""COMPUTED_VALUE"""),"Private equity firm")</f>
        <v>Private equity firm</v>
      </c>
      <c r="C70" s="7" t="str">
        <f>IFERROR(__xludf.DUMMYFUNCTION("""COMPUTED_VALUE"""),"https://www.towapartners.com/")</f>
        <v>https://www.towapartners.com/</v>
      </c>
      <c r="D70" s="1" t="str">
        <f>IFERROR(__xludf.DUMMYFUNCTION("""COMPUTED_VALUE"""),"Spain")</f>
        <v>Spain</v>
      </c>
      <c r="E70" s="1" t="str">
        <f>IFERROR(__xludf.DUMMYFUNCTION("""COMPUTED_VALUE"""),"Europe")</f>
        <v>Europe</v>
      </c>
      <c r="F70" s="1"/>
      <c r="G70" s="1"/>
      <c r="H70" s="1"/>
      <c r="I70" s="1"/>
      <c r="J70" s="1"/>
      <c r="K70" s="2" t="str">
        <f>IFERROR(__xludf.DUMMYFUNCTION("""COMPUTED_VALUE"""),"Europe")</f>
        <v>Europe</v>
      </c>
      <c r="L70" s="2"/>
      <c r="M70" s="2"/>
      <c r="N70" s="3"/>
      <c r="O70" s="2" t="str">
        <f>IFERROR(__xludf.DUMMYFUNCTION("""COMPUTED_VALUE"""),"Towa Partners is a private equity firm built on alignment, discipline and experience. Led by experienced investors with a long track record, we operate under a deal by deal model that ensures transparency and shared objectives. In Spain’s fragmented SME l"&amp;"andscape, we see a compelling opportunity to acquire resilient businesses at attractive valuations and transform them through operational improvement, sector consolidation, scalable platforms and digital enablement—unlocking sustainable value and superior"&amp;" returns for our investors.")</f>
        <v>Towa Partners is a private equity firm built on alignment, discipline and experience. Led by experienced investors with a long track record, we operate under a deal by deal model that ensures transparency and shared objectives. In Spain’s fragmented SME landscape, we see a compelling opportunity to acquire resilient businesses at attractive valuations and transform them through operational improvement, sector consolidation, scalable platforms and digital enablement—unlocking sustainable value and superior returns for our investors.</v>
      </c>
      <c r="P70" s="1"/>
      <c r="Q70" s="1"/>
      <c r="R70" s="1"/>
      <c r="S70" s="1"/>
      <c r="T70" s="1"/>
      <c r="U70" s="1"/>
      <c r="V70" s="1"/>
      <c r="W70" s="1"/>
      <c r="X70" s="1"/>
      <c r="Y70" s="1"/>
      <c r="Z70" s="1"/>
    </row>
    <row r="71">
      <c r="A71" s="1" t="str">
        <f>IFERROR(__xludf.DUMMYFUNCTION("""COMPUTED_VALUE"""),"COCOCO Ventures")</f>
        <v>COCOCO Ventures</v>
      </c>
      <c r="B71" s="1" t="str">
        <f>IFERROR(__xludf.DUMMYFUNCTION("""COMPUTED_VALUE"""),"Corporate Venture Builder")</f>
        <v>Corporate Venture Builder</v>
      </c>
      <c r="C71" s="7" t="str">
        <f>IFERROR(__xludf.DUMMYFUNCTION("""COMPUTED_VALUE"""),"COCOCO Ventures - We build StartCorps!")</f>
        <v>COCOCO Ventures - We build StartCorps!</v>
      </c>
      <c r="D71" s="1" t="str">
        <f>IFERROR(__xludf.DUMMYFUNCTION("""COMPUTED_VALUE"""),"Mexico")</f>
        <v>Mexico</v>
      </c>
      <c r="E71" s="1" t="str">
        <f>IFERROR(__xludf.DUMMYFUNCTION("""COMPUTED_VALUE"""),"Mexico y España")</f>
        <v>Mexico y España</v>
      </c>
      <c r="F71" s="1"/>
      <c r="G71" s="1"/>
      <c r="H71" s="1"/>
      <c r="I71" s="1"/>
      <c r="J71" s="1"/>
      <c r="K71" s="2" t="str">
        <f>IFERROR(__xludf.DUMMYFUNCTION("""COMPUTED_VALUE"""),"Mexico y España")</f>
        <v>Mexico y España</v>
      </c>
      <c r="L71" s="2"/>
      <c r="M71" s="2"/>
      <c r="N71" s="3"/>
      <c r="O71" s="2" t="str">
        <f>IFERROR(__xludf.DUMMYFUNCTION("""COMPUTED_VALUE"""),"Somos un Corporate Venture Builder especializado en concebir, construir y escalar nuevos negocios a partir de corporaciones en México y España.
Trabajamos con empresas que quieren crecer más allá de su core business.
Convertimos sus activos existentes"&amp;" —infraestructura, marca, distribución, datos, capacidad industrial, talento, etc.  — en StartCorps™: negocios independientes diseñados para generar nuevos ingresos, abrir mercados y/o construir futuro... sin distraer la operación actual.
Con CoCoCo, l"&amp;"as empresas:
☛ Innovan sin fricción ni burocracia.
☛ Transforman activos dormidos en ingresos nuevos.
☛ Aumentan su competitividad y velocidad de crecimiento.
☛ Prueban y lanzan negocios en meses, no en años.
Ese es nuestro trabajo: construir fut"&amp;"uro usando lo que ya existe.")</f>
        <v>Somos un Corporate Venture Builder especializado en concebir, construir y escalar nuevos negocios a partir de corporaciones en México y España.
Trabajamos con empresas que quieren crecer más allá de su core business.
Convertimos sus activos existentes —infraestructura, marca, distribución, datos, capacidad industrial, talento, etc.  — en StartCorps™: negocios independientes diseñados para generar nuevos ingresos, abrir mercados y/o construir futuro... sin distraer la operación actual.
Con CoCoCo, las empresas:
☛ Innovan sin fricción ni burocracia.
☛ Transforman activos dormidos en ingresos nuevos.
☛ Aumentan su competitividad y velocidad de crecimiento.
☛ Prueban y lanzan negocios en meses, no en años.
Ese es nuestro trabajo: construir futuro usando lo que ya existe.</v>
      </c>
      <c r="P71" s="1"/>
      <c r="Q71" s="1"/>
      <c r="R71" s="1"/>
      <c r="S71" s="1"/>
      <c r="T71" s="1"/>
      <c r="U71" s="1"/>
      <c r="V71" s="1"/>
      <c r="W71" s="1"/>
      <c r="X71" s="1"/>
      <c r="Y71" s="1"/>
      <c r="Z71" s="1"/>
    </row>
    <row r="72">
      <c r="A72" s="1" t="str">
        <f>IFERROR(__xludf.DUMMYFUNCTION("""COMPUTED_VALUE"""),"Aurus Capital")</f>
        <v>Aurus Capital</v>
      </c>
      <c r="B72" s="1" t="str">
        <f>IFERROR(__xludf.DUMMYFUNCTION("""COMPUTED_VALUE"""),"Venture Capital Fund")</f>
        <v>Venture Capital Fund</v>
      </c>
      <c r="C72" s="7" t="str">
        <f>IFERROR(__xludf.DUMMYFUNCTION("""COMPUTED_VALUE"""),"https://www.aurus.cl/")</f>
        <v>https://www.aurus.cl/</v>
      </c>
      <c r="D72" s="1" t="str">
        <f>IFERROR(__xludf.DUMMYFUNCTION("""COMPUTED_VALUE"""),"Chile")</f>
        <v>Chile</v>
      </c>
      <c r="E72" s="1"/>
      <c r="F72" s="1"/>
      <c r="G72" s="1"/>
      <c r="H72" s="1"/>
      <c r="I72" s="1"/>
      <c r="J72" s="1"/>
      <c r="K72" s="2"/>
      <c r="L72" s="2"/>
      <c r="M72" s="2"/>
      <c r="N72" s="3"/>
      <c r="O72" s="2" t="str">
        <f>IFERROR(__xludf.DUMMYFUNCTION("""COMPUTED_VALUE"""),"Aurus is a Chilean investment firm that manages funds in the venture capital, real estate, and capital markets.
We are pioneers in Latin America’s Venture Capital industry, dedicated to developing the ecosystem and investing in the region’s most impressiv"&amp;"e talent, and scalable technologies. We believe that Chile is the best platform in which to invest in our region because of its investment friendly policies, commitment to innovation, and industry leadership.
As local investors, we realize where the bigge"&amp;"st transformations are occurring. We add value to our portfolio companies through experience, insights, best practices, and network. Our investment decisions are aided by the advice of outstanding advisory committees for each of the funds. All of them are"&amp;" also LPs in the fund and a valuable resource to Aurus and our investees, both in evaluating a prospective investment and later adding value to them through our mentoring program.")</f>
        <v>Aurus is a Chilean investment firm that manages funds in the venture capital, real estate, and capital markets.
We are pioneers in Latin America’s Venture Capital industry, dedicated to developing the ecosystem and investing in the region’s most impressive talent, and scalable technologies. We believe that Chile is the best platform in which to invest in our region because of its investment friendly policies, commitment to innovation, and industry leadership.
As local investors, we realize where the biggest transformations are occurring. We add value to our portfolio companies through experience, insights, best practices, and network. Our investment decisions are aided by the advice of outstanding advisory committees for each of the funds. All of them are also LPs in the fund and a valuable resource to Aurus and our investees, both in evaluating a prospective investment and later adding value to them through our mentoring program.</v>
      </c>
      <c r="P72" s="1"/>
      <c r="Q72" s="1"/>
      <c r="R72" s="1"/>
      <c r="S72" s="1"/>
      <c r="T72" s="1"/>
      <c r="U72" s="1"/>
      <c r="V72" s="1"/>
      <c r="W72" s="1"/>
      <c r="X72" s="1"/>
      <c r="Y72" s="1"/>
      <c r="Z72" s="1"/>
    </row>
    <row r="73">
      <c r="A73" s="1" t="str">
        <f>IFERROR(__xludf.DUMMYFUNCTION("""COMPUTED_VALUE"""),"Avalancha Ventures")</f>
        <v>Avalancha Ventures</v>
      </c>
      <c r="B73" s="1" t="str">
        <f>IFERROR(__xludf.DUMMYFUNCTION("""COMPUTED_VALUE"""),"Venture Capital Fund")</f>
        <v>Venture Capital Fund</v>
      </c>
      <c r="C73" s="7" t="str">
        <f>IFERROR(__xludf.DUMMYFUNCTION("""COMPUTED_VALUE"""),"http://avalancha.ventures/")</f>
        <v>http://avalancha.ventures/</v>
      </c>
      <c r="D73" s="1" t="str">
        <f>IFERROR(__xludf.DUMMYFUNCTION("""COMPUTED_VALUE"""),"Mexico")</f>
        <v>Mexico</v>
      </c>
      <c r="E73" s="1" t="str">
        <f>IFERROR(__xludf.DUMMYFUNCTION("""COMPUTED_VALUE"""),"Americas, Europe")</f>
        <v>Americas, Europe</v>
      </c>
      <c r="F73" s="1" t="str">
        <f>IFERROR(__xludf.DUMMYFUNCTION("""COMPUTED_VALUE"""),"Y")</f>
        <v>Y</v>
      </c>
      <c r="G73" s="1" t="str">
        <f>IFERROR(__xludf.DUMMYFUNCTION("""COMPUTED_VALUE"""),"Y")</f>
        <v>Y</v>
      </c>
      <c r="H73" s="1"/>
      <c r="I73" s="1"/>
      <c r="J73" s="1"/>
      <c r="K73" s="2" t="str">
        <f>IFERROR(__xludf.DUMMYFUNCTION("""COMPUTED_VALUE"""),"Americas, Europe")</f>
        <v>Americas, Europe</v>
      </c>
      <c r="L73" s="2" t="str">
        <f>IFERROR(__xludf.DUMMYFUNCTION("""COMPUTED_VALUE"""),"$300k to $2M")</f>
        <v>$300k to $2M</v>
      </c>
      <c r="M73" s="2" t="str">
        <f>IFERROR(__xludf.DUMMYFUNCTION("""COMPUTED_VALUE"""),"Agnostic")</f>
        <v>Agnostic</v>
      </c>
      <c r="N73" s="3"/>
      <c r="O73" s="2" t="str">
        <f>IFERROR(__xludf.DUMMYFUNCTION("""COMPUTED_VALUE"""),"Early stage venture capital fund that invests in unique teams building extraordinary companies which, with the use of technology, innovate to deliver efficient and cost-effective products and services for the wider population.")</f>
        <v>Early stage venture capital fund that invests in unique teams building extraordinary companies which, with the use of technology, innovate to deliver efficient and cost-effective products and services for the wider population.</v>
      </c>
      <c r="P73" s="1" t="str">
        <f>IFERROR(__xludf.DUMMYFUNCTION("""COMPUTED_VALUE"""),"Investing")</f>
        <v>Investing</v>
      </c>
      <c r="Q73" s="1"/>
      <c r="R73" s="1"/>
      <c r="S73" s="1"/>
      <c r="T73" s="1"/>
      <c r="U73" s="1"/>
      <c r="V73" s="1"/>
      <c r="W73" s="1"/>
      <c r="X73" s="1"/>
      <c r="Y73" s="1"/>
      <c r="Z73" s="1"/>
    </row>
    <row r="74">
      <c r="A74" s="1" t="str">
        <f>IFERROR(__xludf.DUMMYFUNCTION("""COMPUTED_VALUE"""),"Axon Partners Group")</f>
        <v>Axon Partners Group</v>
      </c>
      <c r="B74" s="1" t="str">
        <f>IFERROR(__xludf.DUMMYFUNCTION("""COMPUTED_VALUE"""),"Venture Capital Fund")</f>
        <v>Venture Capital Fund</v>
      </c>
      <c r="C74" s="7" t="str">
        <f>IFERROR(__xludf.DUMMYFUNCTION("""COMPUTED_VALUE"""),"https://www.axonpartnersgroup.com/")</f>
        <v>https://www.axonpartnersgroup.com/</v>
      </c>
      <c r="D74" s="1" t="str">
        <f>IFERROR(__xludf.DUMMYFUNCTION("""COMPUTED_VALUE"""),"Spain")</f>
        <v>Spain</v>
      </c>
      <c r="E74" s="1"/>
      <c r="F74" s="1"/>
      <c r="G74" s="1"/>
      <c r="H74" s="1" t="str">
        <f>IFERROR(__xludf.DUMMYFUNCTION("""COMPUTED_VALUE"""),"Y")</f>
        <v>Y</v>
      </c>
      <c r="I74" s="1" t="str">
        <f>IFERROR(__xludf.DUMMYFUNCTION("""COMPUTED_VALUE"""),"Y")</f>
        <v>Y</v>
      </c>
      <c r="J74" s="1" t="str">
        <f>IFERROR(__xludf.DUMMYFUNCTION("""COMPUTED_VALUE"""),"Y")</f>
        <v>Y</v>
      </c>
      <c r="K74" s="2"/>
      <c r="L74" s="2" t="str">
        <f>IFERROR(__xludf.DUMMYFUNCTION("""COMPUTED_VALUE"""),"300k - 7M")</f>
        <v>300k - 7M</v>
      </c>
      <c r="M74" s="2" t="str">
        <f>IFERROR(__xludf.DUMMYFUNCTION("""COMPUTED_VALUE"""),"Cleantech, Utilities")</f>
        <v>Cleantech, Utilities</v>
      </c>
      <c r="N74" s="3">
        <f>IFERROR(__xludf.DUMMYFUNCTION("""COMPUTED_VALUE"""),8.0E7)</f>
        <v>80000000</v>
      </c>
      <c r="O74" s="2" t="str">
        <f>IFERROR(__xludf.DUMMYFUNCTION("""COMPUTED_VALUE"""),"Axon Partners Group is an international Investment, Alternative Asset Manager, Corporate Development and Consulting firm, with a proven track record in the digital economy sector, energy, healthcare and emerging markets. It was founded by a group of entre"&amp;"preneurs with very wide business development and financial experience. Since then, Axon has grown to become a team of over 70 experts, worldwide thanks to a winning combination of a global presence, partnered with local expertise.
In its Investment Divis"&amp;"ion, Axon manages c. $250m of AuM in its five funds in Southern Europe, Latin America and India. Additionally, Axon is currently launching a Pan-European Fund-of-VC-Funds that will cover different stages across different sectors within the VC industry.
A"&amp;"xon Partners Group Corporate provides corporate finance and business development services to companies across the globe, supporting our clients in fundraising, buy and sell side mandates as well as in the identification of allies and partners, especially "&amp;"across Hispanic markets.
Axon Partners Group Consulting provides consulting services to an international client base in the broad technology sector. It has earned a solid reputation as a world-class leader in developing and applying state-of-the-art anal"&amp;"ytical modelling techniques and conceptual frameworks for practical problem solving.")</f>
        <v>Axon Partners Group is an international Investment, Alternative Asset Manager, Corporate Development and Consulting firm, with a proven track record in the digital economy sector, energy, healthcare and emerging markets. It was founded by a group of entrepreneurs with very wide business development and financial experience. Since then, Axon has grown to become a team of over 70 experts, worldwide thanks to a winning combination of a global presence, partnered with local expertise.
In its Investment Division, Axon manages c. $250m of AuM in its five funds in Southern Europe, Latin America and India. Additionally, Axon is currently launching a Pan-European Fund-of-VC-Funds that will cover different stages across different sectors within the VC industry.
Axon Partners Group Corporate provides corporate finance and business development services to companies across the globe, supporting our clients in fundraising, buy and sell side mandates as well as in the identification of allies and partners, especially across Hispanic markets.
Axon Partners Group Consulting provides consulting services to an international client base in the broad technology sector. It has earned a solid reputation as a world-class leader in developing and applying state-of-the-art analytical modelling techniques and conceptual frameworks for practical problem solving.</v>
      </c>
      <c r="P74" s="1" t="str">
        <f>IFERROR(__xludf.DUMMYFUNCTION("""COMPUTED_VALUE"""),"Investing")</f>
        <v>Investing</v>
      </c>
      <c r="Q74" s="1"/>
      <c r="R74" s="1"/>
      <c r="S74" s="1"/>
      <c r="T74" s="1"/>
      <c r="U74" s="1"/>
      <c r="V74" s="1"/>
      <c r="W74" s="1"/>
      <c r="X74" s="1"/>
      <c r="Y74" s="1"/>
      <c r="Z74" s="1"/>
    </row>
    <row r="75">
      <c r="A75" s="1" t="str">
        <f>IFERROR(__xludf.DUMMYFUNCTION("""COMPUTED_VALUE"""),"Balero")</f>
        <v>Balero</v>
      </c>
      <c r="B75" s="1" t="str">
        <f>IFERROR(__xludf.DUMMYFUNCTION("""COMPUTED_VALUE"""),"Venture Capital platform")</f>
        <v>Venture Capital platform</v>
      </c>
      <c r="C75" s="7" t="str">
        <f>IFERROR(__xludf.DUMMYFUNCTION("""COMPUTED_VALUE"""),"https://balero.us/")</f>
        <v>https://balero.us/</v>
      </c>
      <c r="D75" s="1" t="str">
        <f>IFERROR(__xludf.DUMMYFUNCTION("""COMPUTED_VALUE"""),"Mexico")</f>
        <v>Mexico</v>
      </c>
      <c r="E75" s="1"/>
      <c r="F75" s="1"/>
      <c r="G75" s="1"/>
      <c r="H75" s="1"/>
      <c r="I75" s="1"/>
      <c r="J75" s="1"/>
      <c r="K75" s="2"/>
      <c r="L75" s="2"/>
      <c r="M75" s="2"/>
      <c r="N75" s="3"/>
      <c r="O75" s="2" t="str">
        <f>IFERROR(__xludf.DUMMYFUNCTION("""COMPUTED_VALUE"""),"Balero is an Investment Fund and a Business Linker between Private Funds, Corporates and Startups, whose main objective is to develop investment opportunities in technology-based ""Early Stage""​ Startups that seek to enter the global market.")</f>
        <v>Balero is an Investment Fund and a Business Linker between Private Funds, Corporates and Startups, whose main objective is to develop investment opportunities in technology-based "Early Stage"​ Startups that seek to enter the global market.</v>
      </c>
      <c r="P75" s="1"/>
      <c r="Q75" s="1"/>
      <c r="R75" s="1"/>
      <c r="S75" s="1"/>
      <c r="T75" s="1"/>
      <c r="U75" s="1"/>
      <c r="V75" s="1"/>
      <c r="W75" s="1"/>
      <c r="X75" s="1"/>
      <c r="Y75" s="1"/>
      <c r="Z75" s="1"/>
    </row>
    <row r="76">
      <c r="A76" s="1" t="str">
        <f>IFERROR(__xludf.DUMMYFUNCTION("""COMPUTED_VALUE"""),"Base 10 Partners")</f>
        <v>Base 10 Partners</v>
      </c>
      <c r="B76" s="1" t="str">
        <f>IFERROR(__xludf.DUMMYFUNCTION("""COMPUTED_VALUE"""),"Venture Capital Fund")</f>
        <v>Venture Capital Fund</v>
      </c>
      <c r="C76" s="7" t="str">
        <f>IFERROR(__xludf.DUMMYFUNCTION("""COMPUTED_VALUE"""),"https://base10.vc/")</f>
        <v>https://base10.vc/</v>
      </c>
      <c r="D76" s="1" t="str">
        <f>IFERROR(__xludf.DUMMYFUNCTION("""COMPUTED_VALUE"""),"United States of America")</f>
        <v>United States of America</v>
      </c>
      <c r="E76" s="1" t="str">
        <f>IFERROR(__xludf.DUMMYFUNCTION("""COMPUTED_VALUE"""),"LATAM")</f>
        <v>LATAM</v>
      </c>
      <c r="F76" s="1"/>
      <c r="G76" s="1"/>
      <c r="H76" s="1"/>
      <c r="I76" s="1"/>
      <c r="J76" s="1"/>
      <c r="K76" s="2" t="str">
        <f>IFERROR(__xludf.DUMMYFUNCTION("""COMPUTED_VALUE"""),"LATAM")</f>
        <v>LATAM</v>
      </c>
      <c r="L76" s="2"/>
      <c r="M76" s="2"/>
      <c r="N76" s="3"/>
      <c r="O76" s="2" t="str">
        <f>IFERROR(__xludf.DUMMYFUNCTION("""COMPUTED_VALUE"""),"Base10 is an early stage venture capital firm partnering with entrepreneurs who are bringing automation to traditional sectors of the economy - what we call automation of the real economy.")</f>
        <v>Base10 is an early stage venture capital firm partnering with entrepreneurs who are bringing automation to traditional sectors of the economy - what we call automation of the real economy.</v>
      </c>
      <c r="P76" s="1"/>
      <c r="Q76" s="1"/>
      <c r="R76" s="1"/>
      <c r="S76" s="1"/>
      <c r="T76" s="1"/>
      <c r="U76" s="1"/>
      <c r="V76" s="1"/>
      <c r="W76" s="1"/>
      <c r="X76" s="1"/>
      <c r="Y76" s="1"/>
      <c r="Z76" s="1"/>
    </row>
    <row r="77" hidden="1">
      <c r="A77" s="1" t="str">
        <f>IFERROR(__xludf.DUMMYFUNCTION("""COMPUTED_VALUE"""),"Bassin Ventures")</f>
        <v>Bassin Ventures</v>
      </c>
      <c r="B77" s="1" t="str">
        <f>IFERROR(__xludf.DUMMYFUNCTION("""COMPUTED_VALUE"""),"Venture Capital Fund")</f>
        <v>Venture Capital Fund</v>
      </c>
      <c r="C77" s="1"/>
      <c r="D77" s="1" t="str">
        <f>IFERROR(__xludf.DUMMYFUNCTION("""COMPUTED_VALUE"""),"Colombia")</f>
        <v>Colombia</v>
      </c>
      <c r="E77" s="1" t="str">
        <f>IFERROR(__xludf.DUMMYFUNCTION("""COMPUTED_VALUE"""),"Latam")</f>
        <v>Latam</v>
      </c>
      <c r="F77" s="1" t="str">
        <f>IFERROR(__xludf.DUMMYFUNCTION("""COMPUTED_VALUE"""),"Y")</f>
        <v>Y</v>
      </c>
      <c r="G77" s="1"/>
      <c r="H77" s="1"/>
      <c r="I77" s="1"/>
      <c r="J77" s="1" t="str">
        <f>IFERROR(__xludf.DUMMYFUNCTION("""COMPUTED_VALUE"""),"25k - 50k USD")</f>
        <v>25k - 50k USD</v>
      </c>
      <c r="K77" s="8" t="str">
        <f>IFERROR(__xludf.DUMMYFUNCTION("""COMPUTED_VALUE"""),"https://www.linkedin.com/company/bassin-ventures/")</f>
        <v>https://www.linkedin.com/company/bassin-ventures/</v>
      </c>
      <c r="L77" s="2" t="str">
        <f>IFERROR(__xludf.DUMMYFUNCTION("""COMPUTED_VALUE"""),"Tech")</f>
        <v>Tech</v>
      </c>
      <c r="M77" s="2"/>
      <c r="N77" s="3"/>
      <c r="O77" s="2"/>
      <c r="P77" s="1"/>
      <c r="Q77" s="1"/>
      <c r="R77" s="1"/>
      <c r="S77" s="1"/>
      <c r="T77" s="1"/>
      <c r="U77" s="1"/>
      <c r="V77" s="1"/>
      <c r="W77" s="1"/>
      <c r="X77" s="1"/>
      <c r="Y77" s="1"/>
      <c r="Z77" s="1"/>
    </row>
    <row r="78">
      <c r="A78" s="1" t="str">
        <f>IFERROR(__xludf.DUMMYFUNCTION("""COMPUTED_VALUE"""),"Beamonte")</f>
        <v>Beamonte</v>
      </c>
      <c r="B78" s="1" t="str">
        <f>IFERROR(__xludf.DUMMYFUNCTION("""COMPUTED_VALUE"""),"Family Office, Private Equity")</f>
        <v>Family Office, Private Equity</v>
      </c>
      <c r="C78" s="7" t="str">
        <f>IFERROR(__xludf.DUMMYFUNCTION("""COMPUTED_VALUE"""),"www.beamonte.com")</f>
        <v>www.beamonte.com</v>
      </c>
      <c r="D78" s="1" t="str">
        <f>IFERROR(__xludf.DUMMYFUNCTION("""COMPUTED_VALUE"""),"United States of America")</f>
        <v>United States of America</v>
      </c>
      <c r="E78" s="1"/>
      <c r="F78" s="1"/>
      <c r="G78" s="1" t="str">
        <f>IFERROR(__xludf.DUMMYFUNCTION("""COMPUTED_VALUE"""),"Y")</f>
        <v>Y</v>
      </c>
      <c r="H78" s="1"/>
      <c r="I78" s="1"/>
      <c r="J78" s="1"/>
      <c r="K78" s="2"/>
      <c r="L78" s="2"/>
      <c r="M78" s="2"/>
      <c r="N78" s="3"/>
      <c r="O78" s="2" t="str">
        <f>IFERROR(__xludf.DUMMYFUNCTION("""COMPUTED_VALUE"""),"Beamonte Investments is a private investment firm as Single Family Office (SFO). We have no outside limited partners and approach all investments with a long-term perspective. The firm seeks to deliver consistent, long-term, risk-adjusted returns by inves"&amp;"ting across multiple alternative asset classes.
Beamonte Investments is a private investment firm founded in 2000 that has specialized in private equity investments, advisory services and structured lending. Since inception, the firm has executed, as prin"&amp;"cipal and agent, over US$6 billion in transactions
We have no outside limited partners and approach all investments with a long-term perspective. Areas of concentration are growth equity investments and alternative assets.
We are active investors in priva"&amp;"te growth companies across sectors, favoring recurring revenue, capital efficiency, and protective moats. Our structure allows us to respond to special situations without mandate constraints or fundraising concern.")</f>
        <v>Beamonte Investments is a private investment firm as Single Family Office (SFO). We have no outside limited partners and approach all investments with a long-term perspective. The firm seeks to deliver consistent, long-term, risk-adjusted returns by investing across multiple alternative asset classes.
Beamonte Investments is a private investment firm founded in 2000 that has specialized in private equity investments, advisory services and structured lending. Since inception, the firm has executed, as principal and agent, over US$6 billion in transactions
We have no outside limited partners and approach all investments with a long-term perspective. Areas of concentration are growth equity investments and alternative assets.
We are active investors in private growth companies across sectors, favoring recurring revenue, capital efficiency, and protective moats. Our structure allows us to respond to special situations without mandate constraints or fundraising concern.</v>
      </c>
      <c r="P78" s="1"/>
      <c r="Q78" s="1"/>
      <c r="R78" s="1"/>
      <c r="S78" s="1"/>
      <c r="T78" s="1"/>
      <c r="U78" s="1"/>
      <c r="V78" s="1"/>
      <c r="W78" s="1"/>
      <c r="X78" s="1"/>
      <c r="Y78" s="1"/>
      <c r="Z78" s="1"/>
    </row>
    <row r="79">
      <c r="A79" s="1" t="str">
        <f>IFERROR(__xludf.DUMMYFUNCTION("""COMPUTED_VALUE"""),"Berrini Ventures")</f>
        <v>Berrini Ventures</v>
      </c>
      <c r="B79" s="1" t="str">
        <f>IFERROR(__xludf.DUMMYFUNCTION("""COMPUTED_VALUE"""),"Accelerator")</f>
        <v>Accelerator</v>
      </c>
      <c r="C79" s="7" t="str">
        <f>IFERROR(__xludf.DUMMYFUNCTION("""COMPUTED_VALUE"""),"http://berriniventures.com/")</f>
        <v>http://berriniventures.com/</v>
      </c>
      <c r="D79" s="1"/>
      <c r="E79" s="1"/>
      <c r="F79" s="1"/>
      <c r="G79" s="1"/>
      <c r="H79" s="1"/>
      <c r="I79" s="1"/>
      <c r="J79" s="1"/>
      <c r="K79" s="2"/>
      <c r="L79" s="2"/>
      <c r="M79" s="2"/>
      <c r="N79" s="3"/>
      <c r="O79" s="2" t="str">
        <f>IFERROR(__xludf.DUMMYFUNCTION("""COMPUTED_VALUE"""),"Health Innova Ventures is a Digital Health Accelerator, focused on supporting and developing high impact, sustainable, scalable and exceptional Healthcare startups.")</f>
        <v>Health Innova Ventures is a Digital Health Accelerator, focused on supporting and developing high impact, sustainable, scalable and exceptional Healthcare startups.</v>
      </c>
      <c r="P79" s="1" t="str">
        <f>IFERROR(__xludf.DUMMYFUNCTION("""COMPUTED_VALUE"""),"??")</f>
        <v>??</v>
      </c>
      <c r="Q79" s="1"/>
      <c r="R79" s="1"/>
      <c r="S79" s="1"/>
      <c r="T79" s="1"/>
      <c r="U79" s="1"/>
      <c r="V79" s="1"/>
      <c r="W79" s="1"/>
      <c r="X79" s="1"/>
      <c r="Y79" s="1"/>
      <c r="Z79" s="1"/>
    </row>
    <row r="80">
      <c r="A80" s="1" t="str">
        <f>IFERROR(__xludf.DUMMYFUNCTION("""COMPUTED_VALUE"""),"BID Capital")</f>
        <v>BID Capital</v>
      </c>
      <c r="B80" s="1" t="str">
        <f>IFERROR(__xludf.DUMMYFUNCTION("""COMPUTED_VALUE"""),"Corporate Venture Fund")</f>
        <v>Corporate Venture Fund</v>
      </c>
      <c r="C80" s="7" t="str">
        <f>IFERROR(__xludf.DUMMYFUNCTION("""COMPUTED_VALUE"""),"http://bidg.mx/")</f>
        <v>http://bidg.mx/</v>
      </c>
      <c r="D80" s="1" t="str">
        <f>IFERROR(__xludf.DUMMYFUNCTION("""COMPUTED_VALUE"""),"Mexico")</f>
        <v>Mexico</v>
      </c>
      <c r="E80" s="1"/>
      <c r="F80" s="1"/>
      <c r="G80" s="1"/>
      <c r="H80" s="1"/>
      <c r="I80" s="1"/>
      <c r="J80" s="1"/>
      <c r="K80" s="2"/>
      <c r="L80" s="2"/>
      <c r="M80" s="2"/>
      <c r="N80" s="3"/>
      <c r="O80" s="2" t="str">
        <f>IFERROR(__xludf.DUMMYFUNCTION("""COMPUTED_VALUE"""),"Activities in advisory, private placement andcapital raising for financial institutions, corporations, individuals.")</f>
        <v>Activities in advisory, private placement andcapital raising for financial institutions, corporations, individuals.</v>
      </c>
      <c r="P80" s="1"/>
      <c r="Q80" s="1"/>
      <c r="R80" s="1"/>
      <c r="S80" s="1"/>
      <c r="T80" s="1"/>
      <c r="U80" s="1"/>
      <c r="V80" s="1"/>
      <c r="W80" s="1"/>
      <c r="X80" s="1"/>
      <c r="Y80" s="1"/>
      <c r="Z80" s="1"/>
    </row>
    <row r="81">
      <c r="A81" s="1" t="str">
        <f>IFERROR(__xludf.DUMMYFUNCTION("""COMPUTED_VALUE"""),"NX Capital Partners")</f>
        <v>NX Capital Partners</v>
      </c>
      <c r="B81" s="1" t="str">
        <f>IFERROR(__xludf.DUMMYFUNCTION("""COMPUTED_VALUE"""),"Venture Capital Fund")</f>
        <v>Venture Capital Fund</v>
      </c>
      <c r="C81" s="7" t="str">
        <f>IFERROR(__xludf.DUMMYFUNCTION("""COMPUTED_VALUE"""),"https://nxvcp.com/")</f>
        <v>https://nxvcp.com/</v>
      </c>
      <c r="D81" s="1" t="str">
        <f>IFERROR(__xludf.DUMMYFUNCTION("""COMPUTED_VALUE"""),"Mexico")</f>
        <v>Mexico</v>
      </c>
      <c r="E81" s="1" t="str">
        <f>IFERROR(__xludf.DUMMYFUNCTION("""COMPUTED_VALUE"""),"Mexico, Spain, and the U.S.")</f>
        <v>Mexico, Spain, and the U.S.</v>
      </c>
      <c r="F81" s="1"/>
      <c r="G81" s="1"/>
      <c r="H81" s="1"/>
      <c r="I81" s="1"/>
      <c r="J81" s="1"/>
      <c r="K81" s="2" t="str">
        <f>IFERROR(__xludf.DUMMYFUNCTION("""COMPUTED_VALUE"""),"Mexico, Spain, and the U.S.")</f>
        <v>Mexico, Spain, and the U.S.</v>
      </c>
      <c r="L81" s="2"/>
      <c r="M81" s="2"/>
      <c r="N81" s="3"/>
      <c r="O81" s="2" t="str">
        <f>IFERROR(__xludf.DUMMYFUNCTION("""COMPUTED_VALUE"""),"Opportunistic investment fund focused on mezzanine debt and private equity, targeting SMBs and family-owned businesses in Mexico, Spain, and the U.S. We specialize in identifying and transforming small and medium-sized enterprises through strategic invest"&amp;"ments. We partner with investor groups to lend to, invest in, or acquire unique companies, leveraging opportunities where we can generate significant value in the short, medium, and long term. Continuously exploring investment opportunities in alternative"&amp;" assets, seeking to diversify risk and enhance returns across market cycles. Our team brings strong expertise in M&amp;A, operational turnarounds, and strategic growth, allowing us to deliver attractive and sustainable returns to our investors.")</f>
        <v>Opportunistic investment fund focused on mezzanine debt and private equity, targeting SMBs and family-owned businesses in Mexico, Spain, and the U.S. We specialize in identifying and transforming small and medium-sized enterprises through strategic investments. We partner with investor groups to lend to, invest in, or acquire unique companies, leveraging opportunities where we can generate significant value in the short, medium, and long term. Continuously exploring investment opportunities in alternative assets, seeking to diversify risk and enhance returns across market cycles. Our team brings strong expertise in M&amp;A, operational turnarounds, and strategic growth, allowing us to deliver attractive and sustainable returns to our investors.</v>
      </c>
      <c r="P81" s="1"/>
      <c r="Q81" s="1"/>
      <c r="R81" s="1"/>
      <c r="S81" s="1"/>
      <c r="T81" s="1"/>
      <c r="U81" s="1"/>
      <c r="V81" s="1"/>
      <c r="W81" s="1"/>
      <c r="X81" s="1"/>
      <c r="Y81" s="1"/>
      <c r="Z81" s="1"/>
    </row>
    <row r="82">
      <c r="A82" s="1" t="str">
        <f>IFERROR(__xludf.DUMMYFUNCTION("""COMPUTED_VALUE"""),"Bizcool - escola dos negócios do futuro")</f>
        <v>Bizcool - escola dos negócios do futuro</v>
      </c>
      <c r="B82" s="1" t="str">
        <f>IFERROR(__xludf.DUMMYFUNCTION("""COMPUTED_VALUE"""),"Accelerator")</f>
        <v>Accelerator</v>
      </c>
      <c r="C82" s="7" t="str">
        <f>IFERROR(__xludf.DUMMYFUNCTION("""COMPUTED_VALUE"""),"http://bizcool.com.br/")</f>
        <v>http://bizcool.com.br/</v>
      </c>
      <c r="D82" s="1" t="str">
        <f>IFERROR(__xludf.DUMMYFUNCTION("""COMPUTED_VALUE"""),"Brazil")</f>
        <v>Brazil</v>
      </c>
      <c r="E82" s="1"/>
      <c r="F82" s="1"/>
      <c r="G82" s="1"/>
      <c r="H82" s="1"/>
      <c r="I82" s="1"/>
      <c r="J82" s="1"/>
      <c r="K82" s="2"/>
      <c r="L82" s="2"/>
      <c r="M82" s="2"/>
      <c r="N82" s="3"/>
      <c r="O82" s="2" t="str">
        <f>IFERROR(__xludf.DUMMYFUNCTION("""COMPUTED_VALUE"""),"We understand what your company needs to innovate, we design innovation programs and acceleration programs focused on your goal and on the needs of the entrepreneurial ecosystem. Whether you are a fostering institution, a consolidated company seeking resu"&amp;"lts and to increase revenues, or a startup that wants to be among success cases, Troposlab can help you.")</f>
        <v>We understand what your company needs to innovate, we design innovation programs and acceleration programs focused on your goal and on the needs of the entrepreneurial ecosystem. Whether you are a fostering institution, a consolidated company seeking results and to increase revenues, or a startup that wants to be among success cases, Troposlab can help you.</v>
      </c>
      <c r="P82" s="1"/>
      <c r="Q82" s="1"/>
      <c r="R82" s="1"/>
      <c r="S82" s="1"/>
      <c r="T82" s="1"/>
      <c r="U82" s="1"/>
      <c r="V82" s="1"/>
      <c r="W82" s="1"/>
      <c r="X82" s="1"/>
      <c r="Y82" s="1"/>
      <c r="Z82" s="1"/>
    </row>
    <row r="83">
      <c r="A83" s="1" t="str">
        <f>IFERROR(__xludf.DUMMYFUNCTION("""COMPUTED_VALUE"""),"BlueBox Ventures")</f>
        <v>BlueBox Ventures</v>
      </c>
      <c r="B83" s="1" t="str">
        <f>IFERROR(__xludf.DUMMYFUNCTION("""COMPUTED_VALUE"""),"Accelerator")</f>
        <v>Accelerator</v>
      </c>
      <c r="C83" s="7" t="str">
        <f>IFERROR(__xludf.DUMMYFUNCTION("""COMPUTED_VALUE"""),"https://www.blueboxmx.com/")</f>
        <v>https://www.blueboxmx.com/</v>
      </c>
      <c r="D83" s="1" t="str">
        <f>IFERROR(__xludf.DUMMYFUNCTION("""COMPUTED_VALUE"""),"Mexico")</f>
        <v>Mexico</v>
      </c>
      <c r="E83" s="1"/>
      <c r="F83" s="1"/>
      <c r="G83" s="1"/>
      <c r="H83" s="1"/>
      <c r="I83" s="1"/>
      <c r="J83" s="1"/>
      <c r="K83" s="2"/>
      <c r="L83" s="2"/>
      <c r="M83" s="2"/>
      <c r="N83" s="3"/>
      <c r="O83" s="2" t="str">
        <f>IFERROR(__xludf.DUMMYFUNCTION("""COMPUTED_VALUE"""),"BlueBox is a global ecosystem that helps entrepreneurs, mentors, corporations and investors build high impact multinational enterprises.")</f>
        <v>BlueBox is a global ecosystem that helps entrepreneurs, mentors, corporations and investors build high impact multinational enterprises.</v>
      </c>
      <c r="P83" s="1"/>
      <c r="Q83" s="1"/>
      <c r="R83" s="1"/>
      <c r="S83" s="1"/>
      <c r="T83" s="1"/>
      <c r="U83" s="1"/>
      <c r="V83" s="1"/>
      <c r="W83" s="1"/>
      <c r="X83" s="1"/>
      <c r="Y83" s="1"/>
      <c r="Z83" s="1"/>
    </row>
    <row r="84">
      <c r="A84" s="1" t="str">
        <f>IFERROR(__xludf.DUMMYFUNCTION("""COMPUTED_VALUE"""),"Blackburn Capital")</f>
        <v>Blackburn Capital</v>
      </c>
      <c r="B84" s="1" t="str">
        <f>IFERROR(__xludf.DUMMYFUNCTION("""COMPUTED_VALUE"""),"Syndicate")</f>
        <v>Syndicate</v>
      </c>
      <c r="C84" s="7" t="str">
        <f>IFERROR(__xludf.DUMMYFUNCTION("""COMPUTED_VALUE"""),"https://blackburnmx.com//")</f>
        <v>https://blackburnmx.com//</v>
      </c>
      <c r="D84" s="1"/>
      <c r="E84" s="1"/>
      <c r="F84" s="1"/>
      <c r="G84" s="1" t="str">
        <f>IFERROR(__xludf.DUMMYFUNCTION("""COMPUTED_VALUE"""),"Y")</f>
        <v>Y</v>
      </c>
      <c r="H84" s="1"/>
      <c r="I84" s="1"/>
      <c r="J84" s="1"/>
      <c r="K84" s="2"/>
      <c r="L84" s="2" t="str">
        <f>IFERROR(__xludf.DUMMYFUNCTION("""COMPUTED_VALUE"""),"100k - 500k")</f>
        <v>100k - 500k</v>
      </c>
      <c r="M84" s="2"/>
      <c r="N84" s="3"/>
      <c r="O84" s="2" t="str">
        <f>IFERROR(__xludf.DUMMYFUNCTION("""COMPUTED_VALUE"""),"We invest in ideas that generate a positive effect through unbounded innovation in LatAm. It is within this region that we can bolster the greatest impact in the utmost of society.")</f>
        <v>We invest in ideas that generate a positive effect through unbounded innovation in LatAm. It is within this region that we can bolster the greatest impact in the utmost of society.</v>
      </c>
      <c r="P84" s="1"/>
      <c r="Q84" s="1"/>
      <c r="R84" s="1"/>
      <c r="S84" s="1"/>
      <c r="T84" s="1"/>
      <c r="U84" s="1"/>
      <c r="V84" s="1"/>
      <c r="W84" s="1"/>
      <c r="X84" s="1"/>
      <c r="Y84" s="1"/>
      <c r="Z84" s="1"/>
    </row>
    <row r="85">
      <c r="A85" s="1" t="str">
        <f>IFERROR(__xludf.DUMMYFUNCTION("""COMPUTED_VALUE"""),"Boost Capital Partners")</f>
        <v>Boost Capital Partners</v>
      </c>
      <c r="B85" s="1" t="str">
        <f>IFERROR(__xludf.DUMMYFUNCTION("""COMPUTED_VALUE"""),"Venture Capital Fund")</f>
        <v>Venture Capital Fund</v>
      </c>
      <c r="C85" s="7" t="str">
        <f>IFERROR(__xludf.DUMMYFUNCTION("""COMPUTED_VALUE"""),"Backing Superior User Experience | Boost Capital Partners")</f>
        <v>Backing Superior User Experience | Boost Capital Partners</v>
      </c>
      <c r="D85" s="1" t="str">
        <f>IFERROR(__xludf.DUMMYFUNCTION("""COMPUTED_VALUE"""),"England")</f>
        <v>England</v>
      </c>
      <c r="E85" s="1" t="str">
        <f>IFERROR(__xludf.DUMMYFUNCTION("""COMPUTED_VALUE"""),"Europe, LATAM and US")</f>
        <v>Europe, LATAM and US</v>
      </c>
      <c r="F85" s="1"/>
      <c r="G85" s="1" t="str">
        <f>IFERROR(__xludf.DUMMYFUNCTION("""COMPUTED_VALUE"""),"Y")</f>
        <v>Y</v>
      </c>
      <c r="H85" s="1"/>
      <c r="I85" s="1"/>
      <c r="J85" s="1"/>
      <c r="K85" s="2" t="str">
        <f>IFERROR(__xludf.DUMMYFUNCTION("""COMPUTED_VALUE"""),"Europe, LATAM and US")</f>
        <v>Europe, LATAM and US</v>
      </c>
      <c r="L85" s="2"/>
      <c r="M85" s="2" t="str">
        <f>IFERROR(__xludf.DUMMYFUNCTION("""COMPUTED_VALUE"""),"Fintech, healthcare, saas, entertainment, proptech")</f>
        <v>Fintech, healthcare, saas, entertainment, proptech</v>
      </c>
      <c r="N85" s="3"/>
      <c r="O85" s="2" t="str">
        <f>IFERROR(__xludf.DUMMYFUNCTION("""COMPUTED_VALUE"""),"Boost Capital Partners is an early stage VC fund company based in London, focused in backing and supporting founders delivering best in class user-experiences.  On top of financial support the Boost team hopes to bring their experience with essential aspe"&amp;"cts like acquiring users, boosting engagement and generating revenue.")</f>
        <v>Boost Capital Partners is an early stage VC fund company based in London, focused in backing and supporting founders delivering best in class user-experiences.  On top of financial support the Boost team hopes to bring their experience with essential aspects like acquiring users, boosting engagement and generating revenue.</v>
      </c>
      <c r="P85" s="1"/>
      <c r="Q85" s="1"/>
      <c r="R85" s="1"/>
      <c r="S85" s="1"/>
      <c r="T85" s="1"/>
      <c r="U85" s="1"/>
      <c r="V85" s="1"/>
      <c r="W85" s="1"/>
      <c r="X85" s="1"/>
      <c r="Y85" s="1"/>
      <c r="Z85" s="1"/>
    </row>
    <row r="86">
      <c r="A86" s="1" t="str">
        <f>IFERROR(__xludf.DUMMYFUNCTION("""COMPUTED_VALUE"""),"View Capital")</f>
        <v>View Capital</v>
      </c>
      <c r="B86" s="1" t="str">
        <f>IFERROR(__xludf.DUMMYFUNCTION("""COMPUTED_VALUE"""),"Venture Capital Fund")</f>
        <v>Venture Capital Fund</v>
      </c>
      <c r="C86" s="7" t="str">
        <f>IFERROR(__xludf.DUMMYFUNCTION("""COMPUTED_VALUE"""),"View Capital")</f>
        <v>View Capital</v>
      </c>
      <c r="D86" s="1" t="str">
        <f>IFERROR(__xludf.DUMMYFUNCTION("""COMPUTED_VALUE"""),"Mexico")</f>
        <v>Mexico</v>
      </c>
      <c r="E86" s="1"/>
      <c r="F86" s="1" t="str">
        <f>IFERROR(__xludf.DUMMYFUNCTION("""COMPUTED_VALUE"""),"Y")</f>
        <v>Y</v>
      </c>
      <c r="G86" s="1" t="str">
        <f>IFERROR(__xludf.DUMMYFUNCTION("""COMPUTED_VALUE"""),"Y")</f>
        <v>Y</v>
      </c>
      <c r="H86" s="1" t="str">
        <f>IFERROR(__xludf.DUMMYFUNCTION("""COMPUTED_VALUE"""),"Y")</f>
        <v>Y</v>
      </c>
      <c r="I86" s="1"/>
      <c r="J86" s="1"/>
      <c r="K86" s="2"/>
      <c r="L86" s="2"/>
      <c r="M86" s="2" t="str">
        <f>IFERROR(__xludf.DUMMYFUNCTION("""COMPUTED_VALUE"""),"Proptech")</f>
        <v>Proptech</v>
      </c>
      <c r="N86" s="3"/>
      <c r="O86" s="2" t="str">
        <f>IFERROR(__xludf.DUMMYFUNCTION("""COMPUTED_VALUE"""),"View Capital invierte en emprendedores que quieran cambiar la forma en que vivimos. Somos un fondo de Venture Capital especializado en Startups del segmento PropTech en América Latina. Inverimos capital creativo, relacional y financiero.")</f>
        <v>View Capital invierte en emprendedores que quieran cambiar la forma en que vivimos. Somos un fondo de Venture Capital especializado en Startups del segmento PropTech en América Latina. Inverimos capital creativo, relacional y financiero.</v>
      </c>
      <c r="P86" s="1"/>
      <c r="Q86" s="1"/>
      <c r="R86" s="1"/>
      <c r="S86" s="1"/>
      <c r="T86" s="1"/>
      <c r="U86" s="1"/>
      <c r="V86" s="1"/>
      <c r="W86" s="1"/>
      <c r="X86" s="1"/>
      <c r="Y86" s="1"/>
      <c r="Z86" s="1"/>
    </row>
    <row r="87">
      <c r="A87" s="1" t="str">
        <f>IFERROR(__xludf.DUMMYFUNCTION("""COMPUTED_VALUE"""),"Ascendis Capital")</f>
        <v>Ascendis Capital</v>
      </c>
      <c r="B87" s="1" t="str">
        <f>IFERROR(__xludf.DUMMYFUNCTION("""COMPUTED_VALUE"""),"Private Equity")</f>
        <v>Private Equity</v>
      </c>
      <c r="C87" s="7" t="str">
        <f>IFERROR(__xludf.DUMMYFUNCTION("""COMPUTED_VALUE"""),"https://ascendiscapital.com/")</f>
        <v>https://ascendiscapital.com/</v>
      </c>
      <c r="D87" s="1" t="str">
        <f>IFERROR(__xludf.DUMMYFUNCTION("""COMPUTED_VALUE"""),"Mexico")</f>
        <v>Mexico</v>
      </c>
      <c r="E87" s="1"/>
      <c r="F87" s="1"/>
      <c r="G87" s="1"/>
      <c r="H87" s="1"/>
      <c r="I87" s="1"/>
      <c r="J87" s="1"/>
      <c r="K87" s="2"/>
      <c r="L87" s="2"/>
      <c r="M87" s="2"/>
      <c r="N87" s="3"/>
      <c r="O87" s="2" t="str">
        <f>IFERROR(__xludf.DUMMYFUNCTION("""COMPUTED_VALUE"""),"Ascendis Capital is an investment platform that aims to create value in selected industries. Our thesis seeks target companies able to produce goods and services in Mexico and the U.S.A. having these commercialized throughout North America.")</f>
        <v>Ascendis Capital is an investment platform that aims to create value in selected industries. Our thesis seeks target companies able to produce goods and services in Mexico and the U.S.A. having these commercialized throughout North America.</v>
      </c>
      <c r="P87" s="1"/>
      <c r="Q87" s="1"/>
      <c r="R87" s="1"/>
      <c r="S87" s="1"/>
      <c r="T87" s="1"/>
      <c r="U87" s="1"/>
      <c r="V87" s="1"/>
      <c r="W87" s="1"/>
      <c r="X87" s="1"/>
      <c r="Y87" s="1"/>
      <c r="Z87" s="1"/>
    </row>
    <row r="88">
      <c r="A88" s="1" t="str">
        <f>IFERROR(__xludf.DUMMYFUNCTION("""COMPUTED_VALUE"""),"BOMBAcamp")</f>
        <v>BOMBAcamp</v>
      </c>
      <c r="B88" s="1" t="str">
        <f>IFERROR(__xludf.DUMMYFUNCTION("""COMPUTED_VALUE"""),"Accelerator")</f>
        <v>Accelerator</v>
      </c>
      <c r="C88" s="7" t="str">
        <f>IFERROR(__xludf.DUMMYFUNCTION("""COMPUTED_VALUE"""),"https://www.bombacamp.com/")</f>
        <v>https://www.bombacamp.com/</v>
      </c>
      <c r="D88" s="1" t="str">
        <f>IFERROR(__xludf.DUMMYFUNCTION("""COMPUTED_VALUE"""),"Chile")</f>
        <v>Chile</v>
      </c>
      <c r="E88" s="1"/>
      <c r="F88" s="1"/>
      <c r="G88" s="1"/>
      <c r="H88" s="1"/>
      <c r="I88" s="1"/>
      <c r="J88" s="1"/>
      <c r="K88" s="2"/>
      <c r="L88" s="2"/>
      <c r="M88" s="2"/>
      <c r="N88" s="3"/>
      <c r="O88" s="2" t="str">
        <f>IFERROR(__xludf.DUMMYFUNCTION("""COMPUTED_VALUE"""),"Bombacamp is a fintech venture builder and corporate accelerator.")</f>
        <v>Bombacamp is a fintech venture builder and corporate accelerator.</v>
      </c>
      <c r="P88" s="1"/>
      <c r="Q88" s="1"/>
      <c r="R88" s="1"/>
      <c r="S88" s="1"/>
      <c r="T88" s="1"/>
      <c r="U88" s="1"/>
      <c r="V88" s="1"/>
      <c r="W88" s="1"/>
      <c r="X88" s="1"/>
      <c r="Y88" s="1"/>
      <c r="Z88" s="1"/>
    </row>
    <row r="89" hidden="1">
      <c r="A89" s="1" t="str">
        <f>IFERROR(__xludf.DUMMYFUNCTION("""COMPUTED_VALUE"""),"Bossa Nova Investimentos")</f>
        <v>Bossa Nova Investimentos</v>
      </c>
      <c r="B89" s="1" t="str">
        <f>IFERROR(__xludf.DUMMYFUNCTION("""COMPUTED_VALUE"""),"Venture Capital Fund")</f>
        <v>Venture Capital Fund</v>
      </c>
      <c r="C89" s="1"/>
      <c r="D89" s="1" t="str">
        <f>IFERROR(__xludf.DUMMYFUNCTION("""COMPUTED_VALUE"""),"Brazil")</f>
        <v>Brazil</v>
      </c>
      <c r="E89" s="1"/>
      <c r="F89" s="1"/>
      <c r="G89" s="1"/>
      <c r="H89" s="1"/>
      <c r="I89" s="1"/>
      <c r="J89" s="1"/>
      <c r="K89" s="2"/>
      <c r="L89" s="2"/>
      <c r="M89" s="2"/>
      <c r="N89" s="3"/>
      <c r="O89" s="2"/>
      <c r="P89" s="1"/>
      <c r="Q89" s="1"/>
      <c r="R89" s="1"/>
      <c r="S89" s="1"/>
      <c r="T89" s="1"/>
      <c r="U89" s="1"/>
      <c r="V89" s="1"/>
      <c r="W89" s="1"/>
      <c r="X89" s="1"/>
      <c r="Y89" s="1"/>
      <c r="Z89" s="1"/>
    </row>
    <row r="90">
      <c r="A90" s="1" t="str">
        <f>IFERROR(__xludf.DUMMYFUNCTION("""COMPUTED_VALUE"""),"Brainstorm Ventures")</f>
        <v>Brainstorm Ventures</v>
      </c>
      <c r="B90" s="1" t="str">
        <f>IFERROR(__xludf.DUMMYFUNCTION("""COMPUTED_VALUE"""),"Venture Capital Fund")</f>
        <v>Venture Capital Fund</v>
      </c>
      <c r="C90" s="7" t="str">
        <f>IFERROR(__xludf.DUMMYFUNCTION("""COMPUTED_VALUE"""),"https://brainstorm.vc/")</f>
        <v>https://brainstorm.vc/</v>
      </c>
      <c r="D90" s="1" t="str">
        <f>IFERROR(__xludf.DUMMYFUNCTION("""COMPUTED_VALUE"""),"United States of America")</f>
        <v>United States of America</v>
      </c>
      <c r="E90" s="1"/>
      <c r="F90" s="1"/>
      <c r="G90" s="1" t="str">
        <f>IFERROR(__xludf.DUMMYFUNCTION("""COMPUTED_VALUE"""),"Y")</f>
        <v>Y</v>
      </c>
      <c r="H90" s="1" t="str">
        <f>IFERROR(__xludf.DUMMYFUNCTION("""COMPUTED_VALUE"""),"Y")</f>
        <v>Y</v>
      </c>
      <c r="I90" s="1"/>
      <c r="J90" s="1"/>
      <c r="K90" s="2"/>
      <c r="L90" s="2"/>
      <c r="M90" s="2"/>
      <c r="N90" s="3"/>
      <c r="O90" s="2" t="str">
        <f>IFERROR(__xludf.DUMMYFUNCTION("""COMPUTED_VALUE"""),"Brainstorm Ventures was founded in 1999 with a mission to fund emerging technology companies and actively assist them in their development. Past portfolio companies include OpenTable (IPO), Zappos (acquired by Amazon), Me.com (acquired by Apple) and Mexic"&amp;"o's first unicorn, KIO Networks. Brainstorm began actively investing from its second seed and early stage venture capital fund in 2018. Most of Brainstorm's investments are in Silicon Valley and in Mexico; however, Brainstorm Ventures also targets a selec"&amp;"t number of opportunities across the United States and Latin America.")</f>
        <v>Brainstorm Ventures was founded in 1999 with a mission to fund emerging technology companies and actively assist them in their development. Past portfolio companies include OpenTable (IPO), Zappos (acquired by Amazon), Me.com (acquired by Apple) and Mexico's first unicorn, KIO Networks. Brainstorm began actively investing from its second seed and early stage venture capital fund in 2018. Most of Brainstorm's investments are in Silicon Valley and in Mexico; however, Brainstorm Ventures also targets a select number of opportunities across the United States and Latin America.</v>
      </c>
      <c r="P90" s="1"/>
      <c r="Q90" s="1"/>
      <c r="R90" s="1"/>
      <c r="S90" s="1"/>
      <c r="T90" s="1"/>
      <c r="U90" s="1"/>
      <c r="V90" s="1"/>
      <c r="W90" s="1"/>
      <c r="X90" s="1"/>
      <c r="Y90" s="1"/>
      <c r="Z90" s="1"/>
    </row>
    <row r="91">
      <c r="A91" s="1" t="str">
        <f>IFERROR(__xludf.DUMMYFUNCTION("""COMPUTED_VALUE"""),"BRE Capital")</f>
        <v>BRE Capital</v>
      </c>
      <c r="B91" s="1" t="str">
        <f>IFERROR(__xludf.DUMMYFUNCTION("""COMPUTED_VALUE"""),"Family Office")</f>
        <v>Family Office</v>
      </c>
      <c r="C91" s="7" t="str">
        <f>IFERROR(__xludf.DUMMYFUNCTION("""COMPUTED_VALUE"""),"https://www.bre.capital/")</f>
        <v>https://www.bre.capital/</v>
      </c>
      <c r="D91" s="1" t="str">
        <f>IFERROR(__xludf.DUMMYFUNCTION("""COMPUTED_VALUE"""),"United States of America")</f>
        <v>United States of America</v>
      </c>
      <c r="E91" s="1"/>
      <c r="F91" s="1"/>
      <c r="G91" s="1"/>
      <c r="H91" s="1"/>
      <c r="I91" s="1"/>
      <c r="J91" s="1"/>
      <c r="K91" s="2"/>
      <c r="L91" s="2"/>
      <c r="M91" s="2"/>
      <c r="N91" s="3"/>
      <c r="O91" s="2" t="str">
        <f>IFERROR(__xludf.DUMMYFUNCTION("""COMPUTED_VALUE"""),"BRE Capital is the platform through which founder Patrick de Picciotto and his team organically bring together strategic partnerships and investment opportunities.
Its main pillars are strategic relationships with Velt Partners and Canary in Brazil, and "&amp;"the BRE Family Office.")</f>
        <v>BRE Capital is the platform through which founder Patrick de Picciotto and his team organically bring together strategic partnerships and investment opportunities.
Its main pillars are strategic relationships with Velt Partners and Canary in Brazil, and the BRE Family Office.</v>
      </c>
      <c r="P91" s="1"/>
      <c r="Q91" s="1"/>
      <c r="R91" s="1"/>
      <c r="S91" s="1"/>
      <c r="T91" s="1"/>
      <c r="U91" s="1"/>
      <c r="V91" s="1"/>
      <c r="W91" s="1"/>
      <c r="X91" s="1"/>
      <c r="Y91" s="1"/>
      <c r="Z91" s="1"/>
    </row>
    <row r="92">
      <c r="A92" s="1" t="str">
        <f>IFERROR(__xludf.DUMMYFUNCTION("""COMPUTED_VALUE"""),"Breakoff")</f>
        <v>Breakoff</v>
      </c>
      <c r="B92" s="1" t="str">
        <f>IFERROR(__xludf.DUMMYFUNCTION("""COMPUTED_VALUE"""),"Venture Capital &amp; Private Equity")</f>
        <v>Venture Capital &amp; Private Equity</v>
      </c>
      <c r="C92" s="7" t="str">
        <f>IFERROR(__xludf.DUMMYFUNCTION("""COMPUTED_VALUE"""),"https://breakoff.com/")</f>
        <v>https://breakoff.com/</v>
      </c>
      <c r="D92" s="1" t="str">
        <f>IFERROR(__xludf.DUMMYFUNCTION("""COMPUTED_VALUE"""),"United Kingdom")</f>
        <v>United Kingdom</v>
      </c>
      <c r="E92" s="1"/>
      <c r="F92" s="1"/>
      <c r="G92" s="1"/>
      <c r="H92" s="1"/>
      <c r="I92" s="1"/>
      <c r="J92" s="1"/>
      <c r="K92" s="2"/>
      <c r="L92" s="2"/>
      <c r="M92" s="2"/>
      <c r="N92" s="3"/>
      <c r="O92" s="2" t="str">
        <f>IFERROR(__xludf.DUMMYFUNCTION("""COMPUTED_VALUE"""),"Break Off Capital are a unique investment firm devoted to channelling human financial resources to the advancement of cutting edge science.")</f>
        <v>Break Off Capital are a unique investment firm devoted to channelling human financial resources to the advancement of cutting edge science.</v>
      </c>
      <c r="P92" s="1"/>
      <c r="Q92" s="1"/>
      <c r="R92" s="1"/>
      <c r="S92" s="1"/>
      <c r="T92" s="1"/>
      <c r="U92" s="1"/>
      <c r="V92" s="1"/>
      <c r="W92" s="1"/>
      <c r="X92" s="1"/>
      <c r="Y92" s="1"/>
      <c r="Z92" s="1"/>
    </row>
    <row r="93">
      <c r="A93" s="1" t="str">
        <f>IFERROR(__xludf.DUMMYFUNCTION("""COMPUTED_VALUE"""),"RIS3")</f>
        <v>RIS3</v>
      </c>
      <c r="B93" s="1" t="str">
        <f>IFERROR(__xludf.DUMMYFUNCTION("""COMPUTED_VALUE"""),"Incubator")</f>
        <v>Incubator</v>
      </c>
      <c r="C93" s="7" t="str">
        <f>IFERROR(__xludf.DUMMYFUNCTION("""COMPUTED_VALUE"""),"https://www.ris3labs.xyz/")</f>
        <v>https://www.ris3labs.xyz/</v>
      </c>
      <c r="D93" s="1" t="str">
        <f>IFERROR(__xludf.DUMMYFUNCTION("""COMPUTED_VALUE"""),"United States of America")</f>
        <v>United States of America</v>
      </c>
      <c r="E93" s="1"/>
      <c r="F93" s="1"/>
      <c r="G93" s="1"/>
      <c r="H93" s="1"/>
      <c r="I93" s="1"/>
      <c r="J93" s="1"/>
      <c r="K93" s="2"/>
      <c r="L93" s="2"/>
      <c r="M93" s="2"/>
      <c r="N93" s="3"/>
      <c r="O93" s="2" t="str">
        <f>IFERROR(__xludf.DUMMYFUNCTION("""COMPUTED_VALUE"""),"At RIS3 Labs, we create, fund, support, and grow impact-generating ideas that will make ownership democratization possible through DeFi, NFTs, and DAOs. We work with the best founders to promote world-changing projects that will shape the future of owners"&amp;"hip through technology while constantly seeking ideas that will accelerate the transition to democratized ownership on a decentralized-driven vision and passion for technology, focused on a strong community network.")</f>
        <v>At RIS3 Labs, we create, fund, support, and grow impact-generating ideas that will make ownership democratization possible through DeFi, NFTs, and DAOs. We work with the best founders to promote world-changing projects that will shape the future of ownership through technology while constantly seeking ideas that will accelerate the transition to democratized ownership on a decentralized-driven vision and passion for technology, focused on a strong community network.</v>
      </c>
      <c r="P93" s="1"/>
      <c r="Q93" s="1"/>
      <c r="R93" s="1"/>
      <c r="S93" s="1"/>
      <c r="T93" s="1"/>
      <c r="U93" s="1"/>
      <c r="V93" s="1"/>
      <c r="W93" s="1"/>
      <c r="X93" s="1"/>
      <c r="Y93" s="1"/>
      <c r="Z93" s="1"/>
    </row>
    <row r="94">
      <c r="A94" s="1" t="str">
        <f>IFERROR(__xludf.DUMMYFUNCTION("""COMPUTED_VALUE"""),"Kolab Ventures")</f>
        <v>Kolab Ventures</v>
      </c>
      <c r="B94" s="1" t="str">
        <f>IFERROR(__xludf.DUMMYFUNCTION("""COMPUTED_VALUE"""),"Venture Capital &amp; Private Equity")</f>
        <v>Venture Capital &amp; Private Equity</v>
      </c>
      <c r="C94" s="7" t="str">
        <f>IFERROR(__xludf.DUMMYFUNCTION("""COMPUTED_VALUE"""),"https://www.kolabventures.com/about")</f>
        <v>https://www.kolabventures.com/about</v>
      </c>
      <c r="D94" s="1" t="str">
        <f>IFERROR(__xludf.DUMMYFUNCTION("""COMPUTED_VALUE"""),"Mexico")</f>
        <v>Mexico</v>
      </c>
      <c r="E94" s="1"/>
      <c r="F94" s="1" t="str">
        <f>IFERROR(__xludf.DUMMYFUNCTION("""COMPUTED_VALUE"""),"Y")</f>
        <v>Y</v>
      </c>
      <c r="G94" s="1" t="str">
        <f>IFERROR(__xludf.DUMMYFUNCTION("""COMPUTED_VALUE"""),"Y")</f>
        <v>Y</v>
      </c>
      <c r="H94" s="1"/>
      <c r="I94" s="1"/>
      <c r="J94" s="1"/>
      <c r="K94" s="2"/>
      <c r="L94" s="2"/>
      <c r="M94" s="2"/>
      <c r="N94" s="3"/>
      <c r="O94" s="2" t="str">
        <f>IFERROR(__xludf.DUMMYFUNCTION("""COMPUTED_VALUE"""),"Kolab was founded in 2019 as the innovation and entrepreneurship lab for Grupo Koval. This collaborative dream led us to create a business model based on the digital economy, centered around building communities that empower economic development and gener"&amp;"ate shared value.")</f>
        <v>Kolab was founded in 2019 as the innovation and entrepreneurship lab for Grupo Koval. This collaborative dream led us to create a business model based on the digital economy, centered around building communities that empower economic development and generate shared value.</v>
      </c>
      <c r="P94" s="1"/>
      <c r="Q94" s="1"/>
      <c r="R94" s="1"/>
      <c r="S94" s="1"/>
      <c r="T94" s="1"/>
      <c r="U94" s="1"/>
      <c r="V94" s="1"/>
      <c r="W94" s="1"/>
      <c r="X94" s="1"/>
      <c r="Y94" s="1"/>
      <c r="Z94" s="1"/>
    </row>
    <row r="95">
      <c r="A95" s="1" t="str">
        <f>IFERROR(__xludf.DUMMYFUNCTION("""COMPUTED_VALUE"""),"99 Startups")</f>
        <v>99 Startups</v>
      </c>
      <c r="B95" s="1" t="str">
        <f>IFERROR(__xludf.DUMMYFUNCTION("""COMPUTED_VALUE"""),"Venture Capital Fund")</f>
        <v>Venture Capital Fund</v>
      </c>
      <c r="C95" s="7" t="str">
        <f>IFERROR(__xludf.DUMMYFUNCTION("""COMPUTED_VALUE"""),"https://www.99startups.mx/")</f>
        <v>https://www.99startups.mx/</v>
      </c>
      <c r="D95" s="1" t="str">
        <f>IFERROR(__xludf.DUMMYFUNCTION("""COMPUTED_VALUE"""),"Mexico")</f>
        <v>Mexico</v>
      </c>
      <c r="E95" s="1" t="str">
        <f>IFERROR(__xludf.DUMMYFUNCTION("""COMPUTED_VALUE"""),"Latam")</f>
        <v>Latam</v>
      </c>
      <c r="F95" s="1" t="str">
        <f>IFERROR(__xludf.DUMMYFUNCTION("""COMPUTED_VALUE"""),"Y")</f>
        <v>Y</v>
      </c>
      <c r="G95" s="1" t="str">
        <f>IFERROR(__xludf.DUMMYFUNCTION("""COMPUTED_VALUE"""),"Y")</f>
        <v>Y</v>
      </c>
      <c r="H95" s="1"/>
      <c r="I95" s="1"/>
      <c r="J95" s="1"/>
      <c r="K95" s="2" t="str">
        <f>IFERROR(__xludf.DUMMYFUNCTION("""COMPUTED_VALUE"""),"Latam")</f>
        <v>Latam</v>
      </c>
      <c r="L95" s="2" t="str">
        <f>IFERROR(__xludf.DUMMYFUNCTION("""COMPUTED_VALUE"""),"50k-200k")</f>
        <v>50k-200k</v>
      </c>
      <c r="M95" s="2" t="str">
        <f>IFERROR(__xludf.DUMMYFUNCTION("""COMPUTED_VALUE"""),"fintech, logistics y salud")</f>
        <v>fintech, logistics y salud</v>
      </c>
      <c r="N95" s="3"/>
      <c r="O95" s="2" t="str">
        <f>IFERROR(__xludf.DUMMYFUNCTION("""COMPUTED_VALUE"""),"99 Startups is Venture Capital Firm looking to back bold entrepreneurs building generational companies in fintech, Saas and AI in Latin America.
We partner with ambitious entrepreneurs solving big problems in Latin America.")</f>
        <v>99 Startups is Venture Capital Firm looking to back bold entrepreneurs building generational companies in fintech, Saas and AI in Latin America.
We partner with ambitious entrepreneurs solving big problems in Latin America.</v>
      </c>
      <c r="P95" s="1"/>
      <c r="Q95" s="1"/>
      <c r="R95" s="1"/>
      <c r="S95" s="1"/>
      <c r="T95" s="1"/>
      <c r="U95" s="1"/>
      <c r="V95" s="1"/>
      <c r="W95" s="1"/>
      <c r="X95" s="1"/>
      <c r="Y95" s="1"/>
      <c r="Z95" s="1"/>
    </row>
    <row r="96">
      <c r="A96" s="1" t="str">
        <f>IFERROR(__xludf.DUMMYFUNCTION("""COMPUTED_VALUE"""),"Amg Block")</f>
        <v>Amg Block</v>
      </c>
      <c r="B96" s="1" t="str">
        <f>IFERROR(__xludf.DUMMYFUNCTION("""COMPUTED_VALUE"""),"Venture Capital Fund")</f>
        <v>Venture Capital Fund</v>
      </c>
      <c r="C96" s="7" t="str">
        <f>IFERROR(__xludf.DUMMYFUNCTION("""COMPUTED_VALUE"""),"https://www.amgblock.com/")</f>
        <v>https://www.amgblock.com/</v>
      </c>
      <c r="D96" s="1" t="str">
        <f>IFERROR(__xludf.DUMMYFUNCTION("""COMPUTED_VALUE"""),"Mexico")</f>
        <v>Mexico</v>
      </c>
      <c r="E96" s="1" t="str">
        <f>IFERROR(__xludf.DUMMYFUNCTION("""COMPUTED_VALUE"""),"Latam except Brazil")</f>
        <v>Latam except Brazil</v>
      </c>
      <c r="F96" s="1"/>
      <c r="G96" s="1" t="str">
        <f>IFERROR(__xludf.DUMMYFUNCTION("""COMPUTED_VALUE"""),"Y")</f>
        <v>Y</v>
      </c>
      <c r="H96" s="1"/>
      <c r="I96" s="1"/>
      <c r="J96" s="1"/>
      <c r="K96" s="2" t="str">
        <f>IFERROR(__xludf.DUMMYFUNCTION("""COMPUTED_VALUE"""),"Latam except Brazil")</f>
        <v>Latam except Brazil</v>
      </c>
      <c r="L96" s="2" t="str">
        <f>IFERROR(__xludf.DUMMYFUNCTION("""COMPUTED_VALUE"""),"250k")</f>
        <v>250k</v>
      </c>
      <c r="M96" s="2" t="str">
        <f>IFERROR(__xludf.DUMMYFUNCTION("""COMPUTED_VALUE"""),"fintech")</f>
        <v>fintech</v>
      </c>
      <c r="N96" s="3"/>
      <c r="O96" s="2" t="str">
        <f>IFERROR(__xludf.DUMMYFUNCTION("""COMPUTED_VALUE"""),"AMG Block Ventures is a seed stage fund focused on fintech in Mexico and Latin America. We focus on the intersection of a big problem, a radical solution, breakthrough technology and the team capable of executing the vision. The lack of early stage capita"&amp;"l in the region has become a bottleneck of innovation and we are here to make a change.")</f>
        <v>AMG Block Ventures is a seed stage fund focused on fintech in Mexico and Latin America. We focus on the intersection of a big problem, a radical solution, breakthrough technology and the team capable of executing the vision. The lack of early stage capital in the region has become a bottleneck of innovation and we are here to make a change.</v>
      </c>
      <c r="P96" s="1"/>
      <c r="Q96" s="1"/>
      <c r="R96" s="1"/>
      <c r="S96" s="1"/>
      <c r="T96" s="1"/>
      <c r="U96" s="1"/>
      <c r="V96" s="1"/>
      <c r="W96" s="1"/>
      <c r="X96" s="1"/>
      <c r="Y96" s="1"/>
      <c r="Z96" s="1"/>
    </row>
    <row r="97">
      <c r="A97" s="1" t="str">
        <f>IFERROR(__xludf.DUMMYFUNCTION("""COMPUTED_VALUE"""),"Tenacity venture capital")</f>
        <v>Tenacity venture capital</v>
      </c>
      <c r="B97" s="1" t="str">
        <f>IFERROR(__xludf.DUMMYFUNCTION("""COMPUTED_VALUE"""),"Venture Capital Fund")</f>
        <v>Venture Capital Fund</v>
      </c>
      <c r="C97" s="1"/>
      <c r="D97" s="1" t="str">
        <f>IFERROR(__xludf.DUMMYFUNCTION("""COMPUTED_VALUE"""),"United States of America")</f>
        <v>United States of America</v>
      </c>
      <c r="E97" s="1" t="str">
        <f>IFERROR(__xludf.DUMMYFUNCTION("""COMPUTED_VALUE"""),"World")</f>
        <v>World</v>
      </c>
      <c r="F97" s="1" t="str">
        <f>IFERROR(__xludf.DUMMYFUNCTION("""COMPUTED_VALUE"""),"Y")</f>
        <v>Y</v>
      </c>
      <c r="G97" s="1" t="str">
        <f>IFERROR(__xludf.DUMMYFUNCTION("""COMPUTED_VALUE"""),"Y")</f>
        <v>Y</v>
      </c>
      <c r="H97" s="1"/>
      <c r="I97" s="1"/>
      <c r="J97" s="1"/>
      <c r="K97" s="2" t="str">
        <f>IFERROR(__xludf.DUMMYFUNCTION("""COMPUTED_VALUE"""),"World")</f>
        <v>World</v>
      </c>
      <c r="L97" s="2"/>
      <c r="M97" s="2"/>
      <c r="N97" s="3"/>
      <c r="O97" s="2" t="str">
        <f>IFERROR(__xludf.DUMMYFUNCTION("""COMPUTED_VALUE"""),"Tenacity Venture Capital backs the best Pre-Series A founders in the world.")</f>
        <v>Tenacity Venture Capital backs the best Pre-Series A founders in the world.</v>
      </c>
      <c r="P97" s="1"/>
      <c r="Q97" s="1"/>
      <c r="R97" s="1"/>
      <c r="S97" s="1"/>
      <c r="T97" s="1"/>
      <c r="U97" s="1"/>
      <c r="V97" s="1"/>
      <c r="W97" s="1"/>
      <c r="X97" s="1"/>
      <c r="Y97" s="1"/>
      <c r="Z97" s="1"/>
    </row>
    <row r="98">
      <c r="A98" s="1" t="str">
        <f>IFERROR(__xludf.DUMMYFUNCTION("""COMPUTED_VALUE"""),"BoxGroup")</f>
        <v>BoxGroup</v>
      </c>
      <c r="B98" s="1" t="str">
        <f>IFERROR(__xludf.DUMMYFUNCTION("""COMPUTED_VALUE"""),"Venture Capital Fund")</f>
        <v>Venture Capital Fund</v>
      </c>
      <c r="C98" s="7" t="str">
        <f>IFERROR(__xludf.DUMMYFUNCTION("""COMPUTED_VALUE"""),"https://www.boxgroup.com/")</f>
        <v>https://www.boxgroup.com/</v>
      </c>
      <c r="D98" s="1" t="str">
        <f>IFERROR(__xludf.DUMMYFUNCTION("""COMPUTED_VALUE"""),"United States of America")</f>
        <v>United States of America</v>
      </c>
      <c r="E98" s="1" t="str">
        <f>IFERROR(__xludf.DUMMYFUNCTION("""COMPUTED_VALUE"""),"Global")</f>
        <v>Global</v>
      </c>
      <c r="F98" s="1" t="str">
        <f>IFERROR(__xludf.DUMMYFUNCTION("""COMPUTED_VALUE"""),"Y")</f>
        <v>Y</v>
      </c>
      <c r="G98" s="1" t="str">
        <f>IFERROR(__xludf.DUMMYFUNCTION("""COMPUTED_VALUE"""),"Y")</f>
        <v>Y</v>
      </c>
      <c r="H98" s="1" t="str">
        <f>IFERROR(__xludf.DUMMYFUNCTION("""COMPUTED_VALUE"""),"Y")</f>
        <v>Y</v>
      </c>
      <c r="I98" s="1"/>
      <c r="J98" s="1"/>
      <c r="K98" s="2" t="str">
        <f>IFERROR(__xludf.DUMMYFUNCTION("""COMPUTED_VALUE"""),"Global")</f>
        <v>Global</v>
      </c>
      <c r="L98" s="2" t="str">
        <f>IFERROR(__xludf.DUMMYFUNCTION("""COMPUTED_VALUE"""),"250k - 1M")</f>
        <v>250k - 1M</v>
      </c>
      <c r="M98" s="2"/>
      <c r="N98" s="3"/>
      <c r="O98" s="2" t="str">
        <f>IFERROR(__xludf.DUMMYFUNCTION("""COMPUTED_VALUE"""),"Our goal at BoxGroup is to invest at the earliest stage. Early stage fundraising has taken on many names— friends &amp; family round, pre-seed, seed, etc. and we're open to all of them. We're comfortable with what early means— a lot of assumptions, more visio"&amp;"n than traction, and raw product. At BoxGroup we believe that technology can be a catalyst for positive change and progress. We look for entrepreneurs working at the beginning of movements in existing markets, or new markets yet to be created, and with vi"&amp;"sions to create the next generation of category defining businesses.  ")</f>
        <v>Our goal at BoxGroup is to invest at the earliest stage. Early stage fundraising has taken on many names— friends &amp; family round, pre-seed, seed, etc. and we're open to all of them. We're comfortable with what early means— a lot of assumptions, more vision than traction, and raw product. At BoxGroup we believe that technology can be a catalyst for positive change and progress. We look for entrepreneurs working at the beginning of movements in existing markets, or new markets yet to be created, and with visions to create the next generation of category defining businesses.  </v>
      </c>
      <c r="P98" s="1"/>
      <c r="Q98" s="1"/>
      <c r="R98" s="1"/>
      <c r="S98" s="1"/>
      <c r="T98" s="1"/>
      <c r="U98" s="1"/>
      <c r="V98" s="1"/>
      <c r="W98" s="1"/>
      <c r="X98" s="1"/>
      <c r="Y98" s="1"/>
      <c r="Z98" s="1"/>
    </row>
    <row r="99">
      <c r="A99" s="1" t="str">
        <f>IFERROR(__xludf.DUMMYFUNCTION("""COMPUTED_VALUE"""),"Brazil Venture Capital")</f>
        <v>Brazil Venture Capital</v>
      </c>
      <c r="B99" s="1" t="str">
        <f>IFERROR(__xludf.DUMMYFUNCTION("""COMPUTED_VALUE"""),"Venture Capital Fund")</f>
        <v>Venture Capital Fund</v>
      </c>
      <c r="C99" s="7" t="str">
        <f>IFERROR(__xludf.DUMMYFUNCTION("""COMPUTED_VALUE"""),"https://brazilventurecapital.net/")</f>
        <v>https://brazilventurecapital.net/</v>
      </c>
      <c r="D99" s="1"/>
      <c r="E99" s="1" t="str">
        <f>IFERROR(__xludf.DUMMYFUNCTION("""COMPUTED_VALUE"""),"Latam")</f>
        <v>Latam</v>
      </c>
      <c r="F99" s="1" t="str">
        <f>IFERROR(__xludf.DUMMYFUNCTION("""COMPUTED_VALUE"""),"Seed")</f>
        <v>Seed</v>
      </c>
      <c r="G99" s="1"/>
      <c r="H99" s="1"/>
      <c r="I99" s="1"/>
      <c r="J99" s="1"/>
      <c r="K99" s="2" t="str">
        <f>IFERROR(__xludf.DUMMYFUNCTION("""COMPUTED_VALUE"""),"Latam")</f>
        <v>Latam</v>
      </c>
      <c r="L99" s="2" t="str">
        <f>IFERROR(__xludf.DUMMYFUNCTION("""COMPUTED_VALUE"""),"100k - 200k")</f>
        <v>100k - 200k</v>
      </c>
      <c r="M99" s="2" t="str">
        <f>IFERROR(__xludf.DUMMYFUNCTION("""COMPUTED_VALUE"""),"Agnostic")</f>
        <v>Agnostic</v>
      </c>
      <c r="N99" s="3"/>
      <c r="O99" s="2"/>
      <c r="P99" s="1"/>
      <c r="Q99" s="1"/>
      <c r="R99" s="1"/>
      <c r="S99" s="1"/>
      <c r="T99" s="1"/>
      <c r="U99" s="1"/>
      <c r="V99" s="1"/>
      <c r="W99" s="1"/>
      <c r="X99" s="1"/>
      <c r="Y99" s="1"/>
      <c r="Z99" s="1"/>
    </row>
    <row r="100">
      <c r="A100" s="1" t="str">
        <f>IFERROR(__xludf.DUMMYFUNCTION("""COMPUTED_VALUE"""),"Bridge 37")</f>
        <v>Bridge 37</v>
      </c>
      <c r="B100" s="1" t="str">
        <f>IFERROR(__xludf.DUMMYFUNCTION("""COMPUTED_VALUE"""),"Venture Capital Fund")</f>
        <v>Venture Capital Fund</v>
      </c>
      <c r="C100" s="7" t="str">
        <f>IFERROR(__xludf.DUMMYFUNCTION("""COMPUTED_VALUE"""),"http://b37.vc/")</f>
        <v>http://b37.vc/</v>
      </c>
      <c r="D100" s="1" t="str">
        <f>IFERROR(__xludf.DUMMYFUNCTION("""COMPUTED_VALUE"""),"United States of America")</f>
        <v>United States of America</v>
      </c>
      <c r="E100" s="1"/>
      <c r="F100" s="1"/>
      <c r="G100" s="1" t="str">
        <f>IFERROR(__xludf.DUMMYFUNCTION("""COMPUTED_VALUE"""),"Y")</f>
        <v>Y</v>
      </c>
      <c r="H100" s="1"/>
      <c r="I100" s="1"/>
      <c r="J100" s="1"/>
      <c r="K100" s="2"/>
      <c r="L100" s="2"/>
      <c r="M100" s="2"/>
      <c r="N100" s="3"/>
      <c r="O100" s="2" t="str">
        <f>IFERROR(__xludf.DUMMYFUNCTION("""COMPUTED_VALUE"""),"B37 Ventures is a Silicon Valley Venture Capital firm. We exist to create unrivaled relationships and opportunities among the most transformative companies. On our platform, startups and global corporations exchange innovation and scale. We make innovatio"&amp;"n possible and scale achievable. Manifesto: Change the World. Crazy People. No Assholes. No Bullshit.")</f>
        <v>B37 Ventures is a Silicon Valley Venture Capital firm. We exist to create unrivaled relationships and opportunities among the most transformative companies. On our platform, startups and global corporations exchange innovation and scale. We make innovation possible and scale achievable. Manifesto: Change the World. Crazy People. No Assholes. No Bullshit.</v>
      </c>
      <c r="P100" s="1"/>
      <c r="Q100" s="1"/>
      <c r="R100" s="1"/>
      <c r="S100" s="1"/>
      <c r="T100" s="1"/>
      <c r="U100" s="1"/>
      <c r="V100" s="1"/>
      <c r="W100" s="1"/>
      <c r="X100" s="1"/>
      <c r="Y100" s="1"/>
      <c r="Z100" s="1"/>
    </row>
    <row r="101">
      <c r="A101" s="1" t="str">
        <f>IFERROR(__xludf.DUMMYFUNCTION("""COMPUTED_VALUE"""),"Canaan")</f>
        <v>Canaan</v>
      </c>
      <c r="B101" s="1" t="str">
        <f>IFERROR(__xludf.DUMMYFUNCTION("""COMPUTED_VALUE"""),"Venture Capital Fund")</f>
        <v>Venture Capital Fund</v>
      </c>
      <c r="C101" s="7" t="str">
        <f>IFERROR(__xludf.DUMMYFUNCTION("""COMPUTED_VALUE"""),"https://www.canaan.com/")</f>
        <v>https://www.canaan.com/</v>
      </c>
      <c r="D101" s="1" t="str">
        <f>IFERROR(__xludf.DUMMYFUNCTION("""COMPUTED_VALUE"""),"United States of America")</f>
        <v>United States of America</v>
      </c>
      <c r="E101" s="1" t="str">
        <f>IFERROR(__xludf.DUMMYFUNCTION("""COMPUTED_VALUE"""),"Global")</f>
        <v>Global</v>
      </c>
      <c r="F101" s="1" t="str">
        <f>IFERROR(__xludf.DUMMYFUNCTION("""COMPUTED_VALUE"""),"Y")</f>
        <v>Y</v>
      </c>
      <c r="G101" s="1" t="str">
        <f>IFERROR(__xludf.DUMMYFUNCTION("""COMPUTED_VALUE"""),"Y")</f>
        <v>Y</v>
      </c>
      <c r="H101" s="1" t="str">
        <f>IFERROR(__xludf.DUMMYFUNCTION("""COMPUTED_VALUE"""),"Y")</f>
        <v>Y</v>
      </c>
      <c r="I101" s="1" t="str">
        <f>IFERROR(__xludf.DUMMYFUNCTION("""COMPUTED_VALUE"""),"Y")</f>
        <v>Y</v>
      </c>
      <c r="J101" s="1"/>
      <c r="K101" s="2" t="str">
        <f>IFERROR(__xludf.DUMMYFUNCTION("""COMPUTED_VALUE"""),"Global")</f>
        <v>Global</v>
      </c>
      <c r="L101" s="2" t="str">
        <f>IFERROR(__xludf.DUMMYFUNCTION("""COMPUTED_VALUE"""),"250k - 40M")</f>
        <v>250k - 40M</v>
      </c>
      <c r="M101" s="2" t="str">
        <f>IFERROR(__xludf.DUMMYFUNCTION("""COMPUTED_VALUE"""),"Open, Excited about Finance")</f>
        <v>Open, Excited about Finance</v>
      </c>
      <c r="N101" s="3"/>
      <c r="O101" s="2" t="str">
        <f>IFERROR(__xludf.DUMMYFUNCTION("""COMPUTED_VALUE"""),"Canaan is an early stage venture capital firm that invests in entrepreneurs with visionary ideas. With a diversified fund and over 200 exits to date, Canaan has invested in some of the world's leading technology and healthcare companies over the past 33+ "&amp;"years. Canaan’s focus areas include Consumer Tech, Enterprise, Fintech, Frontier Tech and Life Sciences. To learn more about our people and our portfolio, please visit canaan.com.")</f>
        <v>Canaan is an early stage venture capital firm that invests in entrepreneurs with visionary ideas. With a diversified fund and over 200 exits to date, Canaan has invested in some of the world's leading technology and healthcare companies over the past 33+ years. Canaan’s focus areas include Consumer Tech, Enterprise, Fintech, Frontier Tech and Life Sciences. To learn more about our people and our portfolio, please visit canaan.com.</v>
      </c>
      <c r="P101" s="1"/>
      <c r="Q101" s="1"/>
      <c r="R101" s="1"/>
      <c r="S101" s="1"/>
      <c r="T101" s="1"/>
      <c r="U101" s="1"/>
      <c r="V101" s="1"/>
      <c r="W101" s="1"/>
      <c r="X101" s="1"/>
      <c r="Y101" s="1"/>
      <c r="Z101" s="1"/>
    </row>
    <row r="102">
      <c r="A102" s="1" t="str">
        <f>IFERROR(__xludf.DUMMYFUNCTION("""COMPUTED_VALUE"""),"Carabela")</f>
        <v>Carabela</v>
      </c>
      <c r="B102" s="1" t="str">
        <f>IFERROR(__xludf.DUMMYFUNCTION("""COMPUTED_VALUE"""),"Venture Capital Fund")</f>
        <v>Venture Capital Fund</v>
      </c>
      <c r="C102" s="7" t="str">
        <f>IFERROR(__xludf.DUMMYFUNCTION("""COMPUTED_VALUE"""),"https://www.carabela.vc/")</f>
        <v>https://www.carabela.vc/</v>
      </c>
      <c r="D102" s="1" t="str">
        <f>IFERROR(__xludf.DUMMYFUNCTION("""COMPUTED_VALUE"""),"Mexico")</f>
        <v>Mexico</v>
      </c>
      <c r="E102" s="1" t="str">
        <f>IFERROR(__xludf.DUMMYFUNCTION("""COMPUTED_VALUE"""),"Latam")</f>
        <v>Latam</v>
      </c>
      <c r="F102" s="1" t="str">
        <f>IFERROR(__xludf.DUMMYFUNCTION("""COMPUTED_VALUE"""),"Y")</f>
        <v>Y</v>
      </c>
      <c r="G102" s="1" t="str">
        <f>IFERROR(__xludf.DUMMYFUNCTION("""COMPUTED_VALUE"""),"Y")</f>
        <v>Y</v>
      </c>
      <c r="H102" s="1"/>
      <c r="I102" s="1"/>
      <c r="J102" s="1"/>
      <c r="K102" s="2" t="str">
        <f>IFERROR(__xludf.DUMMYFUNCTION("""COMPUTED_VALUE"""),"Latam")</f>
        <v>Latam</v>
      </c>
      <c r="L102" s="2" t="str">
        <f>IFERROR(__xludf.DUMMYFUNCTION("""COMPUTED_VALUE"""),"100k - 150k USD")</f>
        <v>100k - 150k USD</v>
      </c>
      <c r="M102" s="2" t="str">
        <f>IFERROR(__xludf.DUMMYFUNCTION("""COMPUTED_VALUE"""),"General tech, eCommerce, Finance, Education, Real Estate, Biotechnology")</f>
        <v>General tech, eCommerce, Finance, Education, Real Estate, Biotechnology</v>
      </c>
      <c r="N102" s="3"/>
      <c r="O102" s="2" t="str">
        <f>IFERROR(__xludf.DUMMYFUNCTION("""COMPUTED_VALUE"""),"We are a VC firm backing tech founders at pre-seed as they build B2B deep-tech startups across LatAm.
Our first fund (~$4M), launched in February 2020, made 16 initial investments ($100K–$150K) in startups from Mexico, Chile, Colombia, Peru, Argentina,"&amp;" and Uruguay—backing founders solving critical challenges in the region.
With our second fund ($20M), we plan to invest in ~25 pre-seed deep tech startups led by Latin American tech founders, continuing our mission to drive innovation and impact in the"&amp;" region.")</f>
        <v>We are a VC firm backing tech founders at pre-seed as they build B2B deep-tech startups across LatAm.
Our first fund (~$4M), launched in February 2020, made 16 initial investments ($100K–$150K) in startups from Mexico, Chile, Colombia, Peru, Argentina, and Uruguay—backing founders solving critical challenges in the region.
With our second fund ($20M), we plan to invest in ~25 pre-seed deep tech startups led by Latin American tech founders, continuing our mission to drive innovation and impact in the region.</v>
      </c>
      <c r="P102" s="1"/>
      <c r="Q102" s="1"/>
      <c r="R102" s="1"/>
      <c r="S102" s="1"/>
      <c r="T102" s="1"/>
      <c r="U102" s="1"/>
      <c r="V102" s="1"/>
      <c r="W102" s="1"/>
      <c r="X102" s="1"/>
      <c r="Y102" s="1"/>
      <c r="Z102" s="1"/>
    </row>
    <row r="103">
      <c r="A103" s="1" t="str">
        <f>IFERROR(__xludf.DUMMYFUNCTION("""COMPUTED_VALUE"""),"Broadhaven Capital Partners")</f>
        <v>Broadhaven Capital Partners</v>
      </c>
      <c r="B103" s="1" t="str">
        <f>IFERROR(__xludf.DUMMYFUNCTION("""COMPUTED_VALUE"""),"Investment Firm")</f>
        <v>Investment Firm</v>
      </c>
      <c r="C103" s="7" t="str">
        <f>IFERROR(__xludf.DUMMYFUNCTION("""COMPUTED_VALUE"""),"https://www.broadhaven.com/")</f>
        <v>https://www.broadhaven.com/</v>
      </c>
      <c r="D103" s="1" t="str">
        <f>IFERROR(__xludf.DUMMYFUNCTION("""COMPUTED_VALUE"""),"United States of America")</f>
        <v>United States of America</v>
      </c>
      <c r="E103" s="1"/>
      <c r="F103" s="1" t="str">
        <f>IFERROR(__xludf.DUMMYFUNCTION("""COMPUTED_VALUE"""),"Y")</f>
        <v>Y</v>
      </c>
      <c r="G103" s="1" t="str">
        <f>IFERROR(__xludf.DUMMYFUNCTION("""COMPUTED_VALUE"""),"Y")</f>
        <v>Y</v>
      </c>
      <c r="H103" s="1" t="str">
        <f>IFERROR(__xludf.DUMMYFUNCTION("""COMPUTED_VALUE"""),"Y")</f>
        <v>Y</v>
      </c>
      <c r="I103" s="1"/>
      <c r="J103" s="1"/>
      <c r="K103" s="2"/>
      <c r="L103" s="2"/>
      <c r="M103" s="2"/>
      <c r="N103" s="3"/>
      <c r="O103" s="2" t="str">
        <f>IFERROR(__xludf.DUMMYFUNCTION("""COMPUTED_VALUE"""),"Broadhaven is an independent merchant bank advising and investing in financial services. Since 2010, Broadhaven has advised on over $40 billion in announced transactions. Broadhaven invests in early-stage companies at the intersection of financial service"&amp;"s and technology, and creates value through long-term partnerships with exceptional companies and management teams.")</f>
        <v>Broadhaven is an independent merchant bank advising and investing in financial services. Since 2010, Broadhaven has advised on over $40 billion in announced transactions. Broadhaven invests in early-stage companies at the intersection of financial services and technology, and creates value through long-term partnerships with exceptional companies and management teams.</v>
      </c>
      <c r="P103" s="1"/>
      <c r="Q103" s="1"/>
      <c r="R103" s="1"/>
      <c r="S103" s="1"/>
      <c r="T103" s="1"/>
      <c r="U103" s="1"/>
      <c r="V103" s="1"/>
      <c r="W103" s="1"/>
      <c r="X103" s="1"/>
      <c r="Y103" s="1"/>
      <c r="Z103" s="1"/>
    </row>
    <row r="104">
      <c r="A104" s="1" t="str">
        <f>IFERROR(__xludf.DUMMYFUNCTION("""COMPUTED_VALUE"""),"Carao Ventures")</f>
        <v>Carao Ventures</v>
      </c>
      <c r="B104" s="1" t="str">
        <f>IFERROR(__xludf.DUMMYFUNCTION("""COMPUTED_VALUE"""),"Venture Capital Fund")</f>
        <v>Venture Capital Fund</v>
      </c>
      <c r="C104" s="7" t="str">
        <f>IFERROR(__xludf.DUMMYFUNCTION("""COMPUTED_VALUE"""),"https://www.caraov.com/")</f>
        <v>https://www.caraov.com/</v>
      </c>
      <c r="D104" s="1" t="str">
        <f>IFERROR(__xludf.DUMMYFUNCTION("""COMPUTED_VALUE"""),"Costa Rica")</f>
        <v>Costa Rica</v>
      </c>
      <c r="E104" s="1" t="str">
        <f>IFERROR(__xludf.DUMMYFUNCTION("""COMPUTED_VALUE"""),"Central America, Dominican Republic, Colombia, Peru, Ecuador.")</f>
        <v>Central America, Dominican Republic, Colombia, Peru, Ecuador.</v>
      </c>
      <c r="F104" s="1" t="str">
        <f>IFERROR(__xludf.DUMMYFUNCTION("""COMPUTED_VALUE"""),"Y")</f>
        <v>Y</v>
      </c>
      <c r="G104" s="1" t="str">
        <f>IFERROR(__xludf.DUMMYFUNCTION("""COMPUTED_VALUE"""),"Y")</f>
        <v>Y</v>
      </c>
      <c r="H104" s="1" t="str">
        <f>IFERROR(__xludf.DUMMYFUNCTION("""COMPUTED_VALUE"""),"Y")</f>
        <v>Y</v>
      </c>
      <c r="I104" s="1"/>
      <c r="J104" s="1"/>
      <c r="K104" s="2" t="str">
        <f>IFERROR(__xludf.DUMMYFUNCTION("""COMPUTED_VALUE"""),"Central America, Dominican Republic, Colombia, Peru, Ecuador.")</f>
        <v>Central America, Dominican Republic, Colombia, Peru, Ecuador.</v>
      </c>
      <c r="L104" s="2"/>
      <c r="M104" s="2"/>
      <c r="N104" s="3"/>
      <c r="O104" s="2" t="str">
        <f>IFERROR(__xludf.DUMMYFUNCTION("""COMPUTED_VALUE"""),"Early-stage VC firm focused on backing the top founders from or operating out of the small and medium markets in Latin America.")</f>
        <v>Early-stage VC firm focused on backing the top founders from or operating out of the small and medium markets in Latin America.</v>
      </c>
      <c r="P104" s="1"/>
      <c r="Q104" s="1"/>
      <c r="R104" s="1"/>
      <c r="S104" s="1"/>
      <c r="T104" s="1"/>
      <c r="U104" s="1"/>
      <c r="V104" s="1"/>
      <c r="W104" s="1"/>
      <c r="X104" s="1"/>
      <c r="Y104" s="1"/>
      <c r="Z104" s="1"/>
    </row>
    <row r="105">
      <c r="A105" s="1" t="str">
        <f>IFERROR(__xludf.DUMMYFUNCTION("""COMPUTED_VALUE"""),"Caricaco")</f>
        <v>Caricaco</v>
      </c>
      <c r="B105" s="1" t="str">
        <f>IFERROR(__xludf.DUMMYFUNCTION("""COMPUTED_VALUE"""),"Venture Capital Fund")</f>
        <v>Venture Capital Fund</v>
      </c>
      <c r="C105" s="7" t="str">
        <f>IFERROR(__xludf.DUMMYFUNCTION("""COMPUTED_VALUE"""),"https://caricaco.com/")</f>
        <v>https://caricaco.com/</v>
      </c>
      <c r="D105" s="1" t="str">
        <f>IFERROR(__xludf.DUMMYFUNCTION("""COMPUTED_VALUE"""),"Costa Rica")</f>
        <v>Costa Rica</v>
      </c>
      <c r="E105" s="1" t="str">
        <f>IFERROR(__xludf.DUMMYFUNCTION("""COMPUTED_VALUE"""),"Central America")</f>
        <v>Central America</v>
      </c>
      <c r="F105" s="1"/>
      <c r="G105" s="1"/>
      <c r="H105" s="1"/>
      <c r="I105" s="1"/>
      <c r="J105" s="1"/>
      <c r="K105" s="2" t="str">
        <f>IFERROR(__xludf.DUMMYFUNCTION("""COMPUTED_VALUE"""),"Central America")</f>
        <v>Central America</v>
      </c>
      <c r="L105" s="2"/>
      <c r="M105" s="2"/>
      <c r="N105" s="3"/>
      <c r="O105" s="2" t="str">
        <f>IFERROR(__xludf.DUMMYFUNCTION("""COMPUTED_VALUE"""),"Inversionista que potencia fundadores de Centroamérica a través de inversión en etapa temprana.")</f>
        <v>Inversionista que potencia fundadores de Centroamérica a través de inversión en etapa temprana.</v>
      </c>
      <c r="P105" s="1"/>
      <c r="Q105" s="1"/>
      <c r="R105" s="1"/>
      <c r="S105" s="1"/>
      <c r="T105" s="1"/>
      <c r="U105" s="1"/>
      <c r="V105" s="1"/>
      <c r="W105" s="1"/>
      <c r="X105" s="1"/>
      <c r="Y105" s="1"/>
      <c r="Z105" s="1"/>
    </row>
    <row r="106">
      <c r="A106" s="1" t="str">
        <f>IFERROR(__xludf.DUMMYFUNCTION("""COMPUTED_VALUE"""),"Cracks Fund")</f>
        <v>Cracks Fund</v>
      </c>
      <c r="B106" s="1" t="str">
        <f>IFERROR(__xludf.DUMMYFUNCTION("""COMPUTED_VALUE"""),"Venture Capital Fund")</f>
        <v>Venture Capital Fund</v>
      </c>
      <c r="C106" s="7" t="str">
        <f>IFERROR(__xludf.DUMMYFUNCTION("""COMPUTED_VALUE"""),"https://cracks.la/")</f>
        <v>https://cracks.la/</v>
      </c>
      <c r="D106" s="1"/>
      <c r="E106" s="1" t="str">
        <f>IFERROR(__xludf.DUMMYFUNCTION("""COMPUTED_VALUE"""),"Americas")</f>
        <v>Americas</v>
      </c>
      <c r="F106" s="1" t="str">
        <f>IFERROR(__xludf.DUMMYFUNCTION("""COMPUTED_VALUE"""),"Y")</f>
        <v>Y</v>
      </c>
      <c r="G106" s="1" t="str">
        <f>IFERROR(__xludf.DUMMYFUNCTION("""COMPUTED_VALUE"""),"Y")</f>
        <v>Y</v>
      </c>
      <c r="H106" s="1" t="str">
        <f>IFERROR(__xludf.DUMMYFUNCTION("""COMPUTED_VALUE"""),"Y")</f>
        <v>Y</v>
      </c>
      <c r="I106" s="1"/>
      <c r="J106" s="1"/>
      <c r="K106" s="2" t="str">
        <f>IFERROR(__xludf.DUMMYFUNCTION("""COMPUTED_VALUE"""),"Americas")</f>
        <v>Americas</v>
      </c>
      <c r="L106" s="2" t="str">
        <f>IFERROR(__xludf.DUMMYFUNCTION("""COMPUTED_VALUE"""),"50k - 150k")</f>
        <v>50k - 150k</v>
      </c>
      <c r="M106" s="2" t="str">
        <f>IFERROR(__xludf.DUMMYFUNCTION("""COMPUTED_VALUE"""),"Finance, Consumer, Web 3, Real Estate")</f>
        <v>Finance, Consumer, Web 3, Real Estate</v>
      </c>
      <c r="N106" s="3"/>
      <c r="O106" s="2" t="str">
        <f>IFERROR(__xludf.DUMMYFUNCTION("""COMPUTED_VALUE"""),"Cracks Fund is launching a $5M USD pre-seed venture fund in Mexico City to back Latin American companies using our fast-growing CRACKS distribution platform and direct founder relationships to gain unparalleled access to entrepreneurs who value our expert"&amp;"ise running successful startups and the visibility we can bring to their projects.")</f>
        <v>Cracks Fund is launching a $5M USD pre-seed venture fund in Mexico City to back Latin American companies using our fast-growing CRACKS distribution platform and direct founder relationships to gain unparalleled access to entrepreneurs who value our expertise running successful startups and the visibility we can bring to their projects.</v>
      </c>
      <c r="P106" s="1"/>
      <c r="Q106" s="1"/>
      <c r="R106" s="1"/>
      <c r="S106" s="1"/>
      <c r="T106" s="1"/>
      <c r="U106" s="1"/>
      <c r="V106" s="1"/>
      <c r="W106" s="1"/>
      <c r="X106" s="1"/>
      <c r="Y106" s="1"/>
      <c r="Z106" s="1"/>
    </row>
    <row r="107">
      <c r="A107" s="1" t="str">
        <f>IFERROR(__xludf.DUMMYFUNCTION("""COMPUTED_VALUE"""),"Caffeine Ventures")</f>
        <v>Caffeine Ventures</v>
      </c>
      <c r="B107" s="1" t="str">
        <f>IFERROR(__xludf.DUMMYFUNCTION("""COMPUTED_VALUE"""),"Venture Capital Fund")</f>
        <v>Venture Capital Fund</v>
      </c>
      <c r="C107" s="7" t="str">
        <f>IFERROR(__xludf.DUMMYFUNCTION("""COMPUTED_VALUE"""),"http://www.caffeine.vc/")</f>
        <v>http://www.caffeine.vc/</v>
      </c>
      <c r="D107" s="1" t="str">
        <f>IFERROR(__xludf.DUMMYFUNCTION("""COMPUTED_VALUE"""),"Mexico")</f>
        <v>Mexico</v>
      </c>
      <c r="E107" s="1"/>
      <c r="F107" s="1"/>
      <c r="G107" s="1"/>
      <c r="H107" s="1"/>
      <c r="I107" s="1"/>
      <c r="J107" s="1"/>
      <c r="K107" s="2"/>
      <c r="L107" s="2"/>
      <c r="M107" s="2"/>
      <c r="N107" s="3"/>
      <c r="O107" s="2" t="str">
        <f>IFERROR(__xludf.DUMMYFUNCTION("""COMPUTED_VALUE"""),"Angel Capital Investment Fund aimed at technological startups in the incubation and acceleration stage")</f>
        <v>Angel Capital Investment Fund aimed at technological startups in the incubation and acceleration stage</v>
      </c>
      <c r="P107" s="1"/>
      <c r="Q107" s="1"/>
      <c r="R107" s="1"/>
      <c r="S107" s="1"/>
      <c r="T107" s="1"/>
      <c r="U107" s="1"/>
      <c r="V107" s="1"/>
      <c r="W107" s="1"/>
      <c r="X107" s="1"/>
      <c r="Y107" s="1"/>
      <c r="Z107" s="1"/>
    </row>
    <row r="108">
      <c r="A108" s="1" t="str">
        <f>IFERROR(__xludf.DUMMYFUNCTION("""COMPUTED_VALUE"""),"Canary")</f>
        <v>Canary</v>
      </c>
      <c r="B108" s="1" t="str">
        <f>IFERROR(__xludf.DUMMYFUNCTION("""COMPUTED_VALUE"""),"Venture Capital Fund")</f>
        <v>Venture Capital Fund</v>
      </c>
      <c r="C108" s="7" t="str">
        <f>IFERROR(__xludf.DUMMYFUNCTION("""COMPUTED_VALUE"""),"https://canary.com.br/")</f>
        <v>https://canary.com.br/</v>
      </c>
      <c r="D108" s="1" t="str">
        <f>IFERROR(__xludf.DUMMYFUNCTION("""COMPUTED_VALUE"""),"Brazil")</f>
        <v>Brazil</v>
      </c>
      <c r="E108" s="1"/>
      <c r="F108" s="1"/>
      <c r="G108" s="1" t="str">
        <f>IFERROR(__xludf.DUMMYFUNCTION("""COMPUTED_VALUE"""),"Y")</f>
        <v>Y</v>
      </c>
      <c r="H108" s="1" t="str">
        <f>IFERROR(__xludf.DUMMYFUNCTION("""COMPUTED_VALUE"""),"Y")</f>
        <v>Y</v>
      </c>
      <c r="I108" s="1"/>
      <c r="J108" s="1"/>
      <c r="K108" s="2"/>
      <c r="L108" s="2"/>
      <c r="M108" s="2"/>
      <c r="N108" s="3"/>
      <c r="O108" s="2" t="str">
        <f>IFERROR(__xludf.DUMMYFUNCTION("""COMPUTED_VALUE"""),"Canary backs entrepreneurs seeking to transform Brazil through technology, partnering with founders at the first venture capital round (seed or Series A) and supporting them throughout their growth.")</f>
        <v>Canary backs entrepreneurs seeking to transform Brazil through technology, partnering with founders at the first venture capital round (seed or Series A) and supporting them throughout their growth.</v>
      </c>
      <c r="P108" s="1"/>
      <c r="Q108" s="1"/>
      <c r="R108" s="1"/>
      <c r="S108" s="1"/>
      <c r="T108" s="1"/>
      <c r="U108" s="1"/>
      <c r="V108" s="1"/>
      <c r="W108" s="1"/>
      <c r="X108" s="1"/>
      <c r="Y108" s="1"/>
      <c r="Z108" s="1"/>
    </row>
    <row r="109">
      <c r="A109" s="1" t="str">
        <f>IFERROR(__xludf.DUMMYFUNCTION("""COMPUTED_VALUE"""),"Cantera Capital")</f>
        <v>Cantera Capital</v>
      </c>
      <c r="B109" s="1" t="str">
        <f>IFERROR(__xludf.DUMMYFUNCTION("""COMPUTED_VALUE"""),"Venture Capital Fund")</f>
        <v>Venture Capital Fund</v>
      </c>
      <c r="C109" s="7" t="str">
        <f>IFERROR(__xludf.DUMMYFUNCTION("""COMPUTED_VALUE"""),"https://cantera.co/")</f>
        <v>https://cantera.co/</v>
      </c>
      <c r="D109" s="1" t="str">
        <f>IFERROR(__xludf.DUMMYFUNCTION("""COMPUTED_VALUE"""),"Mexico")</f>
        <v>Mexico</v>
      </c>
      <c r="E109" s="1"/>
      <c r="F109" s="1"/>
      <c r="G109" s="1" t="str">
        <f>IFERROR(__xludf.DUMMYFUNCTION("""COMPUTED_VALUE"""),"Y")</f>
        <v>Y</v>
      </c>
      <c r="H109" s="1" t="str">
        <f>IFERROR(__xludf.DUMMYFUNCTION("""COMPUTED_VALUE"""),"Y")</f>
        <v>Y</v>
      </c>
      <c r="I109" s="1"/>
      <c r="J109" s="1"/>
      <c r="K109" s="2"/>
      <c r="L109" s="2" t="str">
        <f>IFERROR(__xludf.DUMMYFUNCTION("""COMPUTED_VALUE"""),"250k - 1M USD")</f>
        <v>250k - 1M USD</v>
      </c>
      <c r="M109" s="2" t="str">
        <f>IFERROR(__xludf.DUMMYFUNCTION("""COMPUTED_VALUE"""),"Health, Education, Agriculture")</f>
        <v>Health, Education, Agriculture</v>
      </c>
      <c r="N109" s="3"/>
      <c r="O109" s="2" t="str">
        <f>IFERROR(__xludf.DUMMYFUNCTION("""COMPUTED_VALUE"""),"Cantera Capital is a Mexico and Israel based early stage venture capital fund. We invest in teams that are developing deep tech innovation (AI/ML, VR/AR, computer vision, big data, robotics, etc.) applied to these high impact sectors: health, agriculture,"&amp;" and education. Cantera promotes cross-fertilization between the entrepreneurial and VC ecosystems of Israel - one of the world’s most robust tech innovation hubs - and Spanish speaking Latam - a region with more than 400 million people and a vast need fo"&amp;"r more disruptive innovation. Initial investments are at the seed and series A rounds, ranging from US$250k to US$1 million. Cantera invests in Israel and throughout Spanish speaking Latin America.")</f>
        <v>Cantera Capital is a Mexico and Israel based early stage venture capital fund. We invest in teams that are developing deep tech innovation (AI/ML, VR/AR, computer vision, big data, robotics, etc.) applied to these high impact sectors: health, agriculture, and education. Cantera promotes cross-fertilization between the entrepreneurial and VC ecosystems of Israel - one of the world’s most robust tech innovation hubs - and Spanish speaking Latam - a region with more than 400 million people and a vast need for more disruptive innovation. Initial investments are at the seed and series A rounds, ranging from US$250k to US$1 million. Cantera invests in Israel and throughout Spanish speaking Latin America.</v>
      </c>
      <c r="P109" s="1" t="str">
        <f>IFERROR(__xludf.DUMMYFUNCTION("""COMPUTED_VALUE"""),"Closed")</f>
        <v>Closed</v>
      </c>
      <c r="Q109" s="1"/>
      <c r="R109" s="1"/>
      <c r="S109" s="1"/>
      <c r="T109" s="1"/>
      <c r="U109" s="1"/>
      <c r="V109" s="1"/>
      <c r="W109" s="1"/>
      <c r="X109" s="1"/>
      <c r="Y109" s="1"/>
      <c r="Z109" s="1"/>
    </row>
    <row r="110">
      <c r="A110" s="1" t="str">
        <f>IFERROR(__xludf.DUMMYFUNCTION("""COMPUTED_VALUE"""),"Capital Deportivo")</f>
        <v>Capital Deportivo</v>
      </c>
      <c r="B110" s="1" t="str">
        <f>IFERROR(__xludf.DUMMYFUNCTION("""COMPUTED_VALUE"""),"Venture Capital Fund")</f>
        <v>Venture Capital Fund</v>
      </c>
      <c r="C110" s="7" t="str">
        <f>IFERROR(__xludf.DUMMYFUNCTION("""COMPUTED_VALUE"""),"http://capitaldeportivo.com/")</f>
        <v>http://capitaldeportivo.com/</v>
      </c>
      <c r="D110" s="1" t="str">
        <f>IFERROR(__xludf.DUMMYFUNCTION("""COMPUTED_VALUE"""),"Mexico")</f>
        <v>Mexico</v>
      </c>
      <c r="E110" s="1"/>
      <c r="F110" s="1"/>
      <c r="G110" s="1"/>
      <c r="H110" s="1"/>
      <c r="I110" s="1"/>
      <c r="J110" s="1"/>
      <c r="K110" s="2"/>
      <c r="L110" s="2"/>
      <c r="M110" s="2" t="str">
        <f>IFERROR(__xludf.DUMMYFUNCTION("""COMPUTED_VALUE"""),"Sports")</f>
        <v>Sports</v>
      </c>
      <c r="N110" s="3"/>
      <c r="O110" s="2" t="str">
        <f>IFERROR(__xludf.DUMMYFUNCTION("""COMPUTED_VALUE"""),"We are a Venture Capital Fund that seeks to support entrepreneurs and companies focused on sports, whether they are recently created or are in the escalation stage. This initiative responds to the effort to share financing, risk and strategic intellectual"&amp;" support that promotes the strengthening of the business.
Capital Deportivo seeks to promote the practice of sport in Mexico, investing in entrepreneurs who offer goods and services that promote sports and physical activity in the country. It seeks to tra"&amp;"nsform Mexico not only by creating jobs and generating economic development, but by improving the physical and mental well-being of the Mexican population.")</f>
        <v>We are a Venture Capital Fund that seeks to support entrepreneurs and companies focused on sports, whether they are recently created or are in the escalation stage. This initiative responds to the effort to share financing, risk and strategic intellectual support that promotes the strengthening of the business.
Capital Deportivo seeks to promote the practice of sport in Mexico, investing in entrepreneurs who offer goods and services that promote sports and physical activity in the country. It seeks to transform Mexico not only by creating jobs and generating economic development, but by improving the physical and mental well-being of the Mexican population.</v>
      </c>
      <c r="P110" s="1"/>
      <c r="Q110" s="1"/>
      <c r="R110" s="1"/>
      <c r="S110" s="1"/>
      <c r="T110" s="1"/>
      <c r="U110" s="1"/>
      <c r="V110" s="1"/>
      <c r="W110" s="1"/>
      <c r="X110" s="1"/>
      <c r="Y110" s="1"/>
      <c r="Z110" s="1"/>
    </row>
    <row r="111">
      <c r="A111" s="1" t="str">
        <f>IFERROR(__xludf.DUMMYFUNCTION("""COMPUTED_VALUE"""),"Capital Invent")</f>
        <v>Capital Invent</v>
      </c>
      <c r="B111" s="1" t="str">
        <f>IFERROR(__xludf.DUMMYFUNCTION("""COMPUTED_VALUE"""),"Venture Capital Fund")</f>
        <v>Venture Capital Fund</v>
      </c>
      <c r="C111" s="7" t="str">
        <f>IFERROR(__xludf.DUMMYFUNCTION("""COMPUTED_VALUE"""),"http://capitalimx.com/")</f>
        <v>http://capitalimx.com/</v>
      </c>
      <c r="D111" s="1" t="str">
        <f>IFERROR(__xludf.DUMMYFUNCTION("""COMPUTED_VALUE"""),"Mexico")</f>
        <v>Mexico</v>
      </c>
      <c r="E111" s="1"/>
      <c r="F111" s="1"/>
      <c r="G111" s="1" t="str">
        <f>IFERROR(__xludf.DUMMYFUNCTION("""COMPUTED_VALUE"""),"Y")</f>
        <v>Y</v>
      </c>
      <c r="H111" s="1" t="str">
        <f>IFERROR(__xludf.DUMMYFUNCTION("""COMPUTED_VALUE"""),"Y")</f>
        <v>Y</v>
      </c>
      <c r="I111" s="1"/>
      <c r="J111" s="1"/>
      <c r="K111" s="2"/>
      <c r="L111" s="2"/>
      <c r="M111" s="2"/>
      <c r="N111" s="3"/>
      <c r="O111" s="2" t="str">
        <f>IFERROR(__xludf.DUMMYFUNCTION("""COMPUTED_VALUE"""),"Capital Invent is a Mexican-based early stage VC fund focused on internet companies, with a particular interest in marketplaces, e-commerce, fintech, mobile and SaaS. Our mission is to be a catapult for the entrepreneurial talent in Mexico and help transf"&amp;"orm the tech startup scene in the country.")</f>
        <v>Capital Invent is a Mexican-based early stage VC fund focused on internet companies, with a particular interest in marketplaces, e-commerce, fintech, mobile and SaaS. Our mission is to be a catapult for the entrepreneurial talent in Mexico and help transform the tech startup scene in the country.</v>
      </c>
      <c r="P111" s="1" t="str">
        <f>IFERROR(__xludf.DUMMYFUNCTION("""COMPUTED_VALUE"""),"Fundraising")</f>
        <v>Fundraising</v>
      </c>
      <c r="Q111" s="1"/>
      <c r="R111" s="1"/>
      <c r="S111" s="1"/>
      <c r="T111" s="1"/>
      <c r="U111" s="1"/>
      <c r="V111" s="1"/>
      <c r="W111" s="1"/>
      <c r="X111" s="1"/>
      <c r="Y111" s="1"/>
      <c r="Z111" s="1"/>
    </row>
    <row r="112">
      <c r="A112" s="1" t="str">
        <f>IFERROR(__xludf.DUMMYFUNCTION("""COMPUTED_VALUE"""),"Capital Lab")</f>
        <v>Capital Lab</v>
      </c>
      <c r="B112" s="1" t="str">
        <f>IFERROR(__xludf.DUMMYFUNCTION("""COMPUTED_VALUE"""),"Venture Capital &amp; Private Equity")</f>
        <v>Venture Capital &amp; Private Equity</v>
      </c>
      <c r="C112" s="7" t="str">
        <f>IFERROR(__xludf.DUMMYFUNCTION("""COMPUTED_VALUE"""),"https://capitallab.com.br/")</f>
        <v>https://capitallab.com.br/</v>
      </c>
      <c r="D112" s="1" t="str">
        <f>IFERROR(__xludf.DUMMYFUNCTION("""COMPUTED_VALUE"""),"United Kingdom")</f>
        <v>United Kingdom</v>
      </c>
      <c r="E112" s="1" t="str">
        <f>IFERROR(__xludf.DUMMYFUNCTION("""COMPUTED_VALUE"""),"Latin America, Europe, Israel")</f>
        <v>Latin America, Europe, Israel</v>
      </c>
      <c r="F112" s="1"/>
      <c r="G112" s="1"/>
      <c r="H112" s="1"/>
      <c r="I112" s="1"/>
      <c r="J112" s="1"/>
      <c r="K112" s="2" t="str">
        <f>IFERROR(__xludf.DUMMYFUNCTION("""COMPUTED_VALUE"""),"Latin America, Europe, Israel")</f>
        <v>Latin America, Europe, Israel</v>
      </c>
      <c r="L112" s="2"/>
      <c r="M112" s="2"/>
      <c r="N112" s="3"/>
      <c r="O112" s="2" t="str">
        <f>IFERROR(__xludf.DUMMYFUNCTION("""COMPUTED_VALUE"""),"We are a venture capital firm that establishes long-lasting partnerships with entrepreneurs aiming to use technology to change the world around them. We look for local companies with the ambition to go global and entrepreneurs passionate about their missi"&amp;"on, that’s where the power of our network is most valuable.
We like to partner early, build a relationship with entrepreneurs and support them with more then just capital. As a team, we are excited to contribute to the team by providing key strategic a"&amp;"nd operational support to ensure our investments are long-lasting, scalable companies.")</f>
        <v>We are a venture capital firm that establishes long-lasting partnerships with entrepreneurs aiming to use technology to change the world around them. We look for local companies with the ambition to go global and entrepreneurs passionate about their mission, that’s where the power of our network is most valuable.
We like to partner early, build a relationship with entrepreneurs and support them with more then just capital. As a team, we are excited to contribute to the team by providing key strategic and operational support to ensure our investments are long-lasting, scalable companies.</v>
      </c>
      <c r="P112" s="1"/>
      <c r="Q112" s="1"/>
      <c r="R112" s="1"/>
      <c r="S112" s="1"/>
      <c r="T112" s="1"/>
      <c r="U112" s="1"/>
      <c r="V112" s="1"/>
      <c r="W112" s="1"/>
      <c r="X112" s="1"/>
      <c r="Y112" s="1"/>
      <c r="Z112" s="1"/>
    </row>
    <row r="113">
      <c r="A113" s="1" t="str">
        <f>IFERROR(__xludf.DUMMYFUNCTION("""COMPUTED_VALUE"""),"CEMEX Ventures")</f>
        <v>CEMEX Ventures</v>
      </c>
      <c r="B113" s="1" t="str">
        <f>IFERROR(__xludf.DUMMYFUNCTION("""COMPUTED_VALUE"""),"Corporate Venture Fund")</f>
        <v>Corporate Venture Fund</v>
      </c>
      <c r="C113" s="7" t="str">
        <f>IFERROR(__xludf.DUMMYFUNCTION("""COMPUTED_VALUE"""),"https://www.cemexventures.com/")</f>
        <v>https://www.cemexventures.com/</v>
      </c>
      <c r="D113" s="1" t="str">
        <f>IFERROR(__xludf.DUMMYFUNCTION("""COMPUTED_VALUE"""),"Spain")</f>
        <v>Spain</v>
      </c>
      <c r="E113" s="1"/>
      <c r="F113" s="1"/>
      <c r="G113" s="1"/>
      <c r="H113" s="1"/>
      <c r="I113" s="1"/>
      <c r="J113" s="1"/>
      <c r="K113" s="2"/>
      <c r="L113" s="2"/>
      <c r="M113" s="2"/>
      <c r="N113" s="3"/>
      <c r="O113" s="2" t="str">
        <f>IFERROR(__xludf.DUMMYFUNCTION("""COMPUTED_VALUE"""),"Cemex Ventures is a corporate venture capital arm of Cemex, that mainly focuses on urban development, new construction trends and technologies, improving connectivity within the construction ecosystem and reinforcing project finance resources. The firm al"&amp;"so provides with an open and collaborative platform to lead the evolution of the construction industry by engaging startups, entrepreneurs, universities and other stakeholders to shape tomorrow's value ecosystem. It also offers incubator and accelerator s"&amp;"ervices within the construction industry and technology partnerships. Additionally, it provides global and local network to an established startup in the construction ecosystem that will help scale their business.")</f>
        <v>Cemex Ventures is a corporate venture capital arm of Cemex, that mainly focuses on urban development, new construction trends and technologies, improving connectivity within the construction ecosystem and reinforcing project finance resources. The firm also provides with an open and collaborative platform to lead the evolution of the construction industry by engaging startups, entrepreneurs, universities and other stakeholders to shape tomorrow's value ecosystem. It also offers incubator and accelerator services within the construction industry and technology partnerships. Additionally, it provides global and local network to an established startup in the construction ecosystem that will help scale their business.</v>
      </c>
      <c r="P113" s="1"/>
      <c r="Q113" s="1"/>
      <c r="R113" s="1"/>
      <c r="S113" s="1"/>
      <c r="T113" s="1"/>
      <c r="U113" s="1"/>
      <c r="V113" s="1"/>
      <c r="W113" s="1"/>
      <c r="X113" s="1"/>
      <c r="Y113" s="1"/>
      <c r="Z113" s="1"/>
    </row>
    <row r="114">
      <c r="A114" s="1" t="str">
        <f>IFERROR(__xludf.DUMMYFUNCTION("""COMPUTED_VALUE"""),"Cesar Labs")</f>
        <v>Cesar Labs</v>
      </c>
      <c r="B114" s="1" t="str">
        <f>IFERROR(__xludf.DUMMYFUNCTION("""COMPUTED_VALUE"""),"Accelerator")</f>
        <v>Accelerator</v>
      </c>
      <c r="C114" s="7" t="str">
        <f>IFERROR(__xludf.DUMMYFUNCTION("""COMPUTED_VALUE"""),"https://www.cesar.org.br/")</f>
        <v>https://www.cesar.org.br/</v>
      </c>
      <c r="D114" s="1" t="str">
        <f>IFERROR(__xludf.DUMMYFUNCTION("""COMPUTED_VALUE"""),"Brazil")</f>
        <v>Brazil</v>
      </c>
      <c r="E114" s="1"/>
      <c r="F114" s="1"/>
      <c r="G114" s="1"/>
      <c r="H114" s="1"/>
      <c r="I114" s="1"/>
      <c r="J114" s="1"/>
      <c r="K114" s="2"/>
      <c r="L114" s="2"/>
      <c r="M114" s="2"/>
      <c r="N114" s="3"/>
      <c r="O114" s="2" t="str">
        <f>IFERROR(__xludf.DUMMYFUNCTION("""COMPUTED_VALUE"""),"We are an accelerator program of CESAR. We stimulate advanced technology enterprises through the support of exponential organization creation methodologies, coworking infrastructure and laboratories, networking with the market and seed capital.")</f>
        <v>We are an accelerator program of CESAR. We stimulate advanced technology enterprises through the support of exponential organization creation methodologies, coworking infrastructure and laboratories, networking with the market and seed capital.</v>
      </c>
      <c r="P114" s="1"/>
      <c r="Q114" s="1"/>
      <c r="R114" s="1"/>
      <c r="S114" s="1"/>
      <c r="T114" s="1"/>
      <c r="U114" s="1"/>
      <c r="V114" s="1"/>
      <c r="W114" s="1"/>
      <c r="X114" s="1"/>
      <c r="Y114" s="1"/>
      <c r="Z114" s="1"/>
    </row>
    <row r="115">
      <c r="A115" s="1" t="str">
        <f>IFERROR(__xludf.DUMMYFUNCTION("""COMPUTED_VALUE"""),"Challenger88")</f>
        <v>Challenger88</v>
      </c>
      <c r="B115" s="1" t="str">
        <f>IFERROR(__xludf.DUMMYFUNCTION("""COMPUTED_VALUE"""),"Venture Capital Fund")</f>
        <v>Venture Capital Fund</v>
      </c>
      <c r="C115" s="7" t="str">
        <f>IFERROR(__xludf.DUMMYFUNCTION("""COMPUTED_VALUE"""),"http://challenger88.com/")</f>
        <v>http://challenger88.com/</v>
      </c>
      <c r="D115" s="1" t="str">
        <f>IFERROR(__xludf.DUMMYFUNCTION("""COMPUTED_VALUE"""),"Switzerland")</f>
        <v>Switzerland</v>
      </c>
      <c r="E115" s="1"/>
      <c r="F115" s="1"/>
      <c r="G115" s="1"/>
      <c r="H115" s="1" t="str">
        <f>IFERROR(__xludf.DUMMYFUNCTION("""COMPUTED_VALUE"""),"Y")</f>
        <v>Y</v>
      </c>
      <c r="I115" s="1" t="str">
        <f>IFERROR(__xludf.DUMMYFUNCTION("""COMPUTED_VALUE"""),"Y")</f>
        <v>Y</v>
      </c>
      <c r="J115" s="1" t="str">
        <f>IFERROR(__xludf.DUMMYFUNCTION("""COMPUTED_VALUE"""),"Y")</f>
        <v>Y</v>
      </c>
      <c r="K115" s="2"/>
      <c r="L115" s="2" t="str">
        <f>IFERROR(__xludf.DUMMYFUNCTION("""COMPUTED_VALUE"""),"&gt;1M USD")</f>
        <v>&gt;1M USD</v>
      </c>
      <c r="M115" s="2" t="str">
        <f>IFERROR(__xludf.DUMMYFUNCTION("""COMPUTED_VALUE"""),"Health, Recycling, Tech, New material, Deep tech, Agriculture, Fintech")</f>
        <v>Health, Recycling, Tech, New material, Deep tech, Agriculture, Fintech</v>
      </c>
      <c r="N115" s="3"/>
      <c r="O115" s="2" t="str">
        <f>IFERROR(__xludf.DUMMYFUNCTION("""COMPUTED_VALUE"""),"Challenger 88 is a global Impact Investing consulting firm that advises family offices and foundations on Impact Investing topics, from building Impact Investment strategies across asset classes, to identifying venture capital and private equity opportuni"&amp;"ties around the world. We leverage decades of combined Impact Investing experience and our global network to help clients align their capital with their values.")</f>
        <v>Challenger 88 is a global Impact Investing consulting firm that advises family offices and foundations on Impact Investing topics, from building Impact Investment strategies across asset classes, to identifying venture capital and private equity opportunities around the world. We leverage decades of combined Impact Investing experience and our global network to help clients align their capital with their values.</v>
      </c>
      <c r="P115" s="1"/>
      <c r="Q115" s="1"/>
      <c r="R115" s="1"/>
      <c r="S115" s="1"/>
      <c r="T115" s="1"/>
      <c r="U115" s="1"/>
      <c r="V115" s="1"/>
      <c r="W115" s="1"/>
      <c r="X115" s="1"/>
      <c r="Y115" s="1"/>
      <c r="Z115" s="1"/>
    </row>
    <row r="116">
      <c r="A116" s="1" t="str">
        <f>IFERROR(__xludf.DUMMYFUNCTION("""COMPUTED_VALUE"""),"Chile Global Ventures")</f>
        <v>Chile Global Ventures</v>
      </c>
      <c r="B116" s="1" t="str">
        <f>IFERROR(__xludf.DUMMYFUNCTION("""COMPUTED_VALUE"""),"Venture Capital Fund")</f>
        <v>Venture Capital Fund</v>
      </c>
      <c r="C116" s="7" t="str">
        <f>IFERROR(__xludf.DUMMYFUNCTION("""COMPUTED_VALUE"""),"https://chileglobalventures.cl/")</f>
        <v>https://chileglobalventures.cl/</v>
      </c>
      <c r="D116" s="1" t="str">
        <f>IFERROR(__xludf.DUMMYFUNCTION("""COMPUTED_VALUE"""),"Chile")</f>
        <v>Chile</v>
      </c>
      <c r="E116" s="1"/>
      <c r="F116" s="1" t="str">
        <f>IFERROR(__xludf.DUMMYFUNCTION("""COMPUTED_VALUE"""),"Y")</f>
        <v>Y</v>
      </c>
      <c r="G116" s="1" t="str">
        <f>IFERROR(__xludf.DUMMYFUNCTION("""COMPUTED_VALUE"""),"Y")</f>
        <v>Y</v>
      </c>
      <c r="H116" s="1"/>
      <c r="I116" s="1"/>
      <c r="J116" s="1"/>
      <c r="K116" s="2"/>
      <c r="L116" s="2"/>
      <c r="M116" s="2" t="str">
        <f>IFERROR(__xludf.DUMMYFUNCTION("""COMPUTED_VALUE"""),"Agnostic")</f>
        <v>Agnostic</v>
      </c>
      <c r="N116" s="3"/>
      <c r="O116" s="2" t="str">
        <f>IFERROR(__xludf.DUMMYFUNCTION("""COMPUTED_VALUE"""),"ChileGlobal Ventures is the consolidation of all the initiatives that Fundación Chile has created to enhance the growth of startups that will impact the development of Chile, Latin America and the world, covering the full spectrum of business maturity and"&amp;" thus offering a unique value proposition to support dynamic enterprises.")</f>
        <v>ChileGlobal Ventures is the consolidation of all the initiatives that Fundación Chile has created to enhance the growth of startups that will impact the development of Chile, Latin America and the world, covering the full spectrum of business maturity and thus offering a unique value proposition to support dynamic enterprises.</v>
      </c>
      <c r="P116" s="1"/>
      <c r="Q116" s="1"/>
      <c r="R116" s="1"/>
      <c r="S116" s="1"/>
      <c r="T116" s="1"/>
      <c r="U116" s="1"/>
      <c r="V116" s="1"/>
      <c r="W116" s="1"/>
      <c r="X116" s="1"/>
      <c r="Y116" s="1"/>
      <c r="Z116" s="1"/>
    </row>
    <row r="117">
      <c r="A117" s="1" t="str">
        <f>IFERROR(__xludf.DUMMYFUNCTION("""COMPUTED_VALUE"""),"Chile Ventures")</f>
        <v>Chile Ventures</v>
      </c>
      <c r="B117" s="1" t="str">
        <f>IFERROR(__xludf.DUMMYFUNCTION("""COMPUTED_VALUE"""),"Venture Capital Fund")</f>
        <v>Venture Capital Fund</v>
      </c>
      <c r="C117" s="7" t="str">
        <f>IFERROR(__xludf.DUMMYFUNCTION("""COMPUTED_VALUE"""),"https://www.chileventures.vc/")</f>
        <v>https://www.chileventures.vc/</v>
      </c>
      <c r="D117" s="1" t="str">
        <f>IFERROR(__xludf.DUMMYFUNCTION("""COMPUTED_VALUE"""),"Chile")</f>
        <v>Chile</v>
      </c>
      <c r="E117" s="1"/>
      <c r="F117" s="1"/>
      <c r="G117" s="1"/>
      <c r="H117" s="1"/>
      <c r="I117" s="1"/>
      <c r="J117" s="1"/>
      <c r="K117" s="2"/>
      <c r="L117" s="2"/>
      <c r="M117" s="2"/>
      <c r="N117" s="3"/>
      <c r="O117" s="2" t="str">
        <f>IFERROR(__xludf.DUMMYFUNCTION("""COMPUTED_VALUE"""),"Venture Capital Fund (VC) specialized in technology Startups with recurring income (SaaS, subscriptions, licenses, memberships).")</f>
        <v>Venture Capital Fund (VC) specialized in technology Startups with recurring income (SaaS, subscriptions, licenses, memberships).</v>
      </c>
      <c r="P117" s="1"/>
      <c r="Q117" s="1"/>
      <c r="R117" s="1"/>
      <c r="S117" s="1"/>
      <c r="T117" s="1"/>
      <c r="U117" s="1"/>
      <c r="V117" s="1"/>
      <c r="W117" s="1"/>
      <c r="X117" s="1"/>
      <c r="Y117" s="1"/>
      <c r="Z117" s="1"/>
    </row>
    <row r="118">
      <c r="A118" s="1" t="str">
        <f>IFERROR(__xludf.DUMMYFUNCTION("""COMPUTED_VALUE"""),"Chrysalis")</f>
        <v>Chrysalis</v>
      </c>
      <c r="B118" s="1" t="str">
        <f>IFERROR(__xludf.DUMMYFUNCTION("""COMPUTED_VALUE"""),"Accelerator")</f>
        <v>Accelerator</v>
      </c>
      <c r="C118" s="7" t="str">
        <f>IFERROR(__xludf.DUMMYFUNCTION("""COMPUTED_VALUE"""),"http://www.chrysalis.cl/")</f>
        <v>http://www.chrysalis.cl/</v>
      </c>
      <c r="D118" s="1" t="str">
        <f>IFERROR(__xludf.DUMMYFUNCTION("""COMPUTED_VALUE"""),"Chile")</f>
        <v>Chile</v>
      </c>
      <c r="E118" s="1"/>
      <c r="F118" s="1"/>
      <c r="G118" s="1"/>
      <c r="H118" s="1"/>
      <c r="I118" s="1"/>
      <c r="J118" s="1"/>
      <c r="K118" s="2"/>
      <c r="L118" s="2"/>
      <c r="M118" s="2"/>
      <c r="N118" s="3"/>
      <c r="O118" s="2" t="str">
        <f>IFERROR(__xludf.DUMMYFUNCTION("""COMPUTED_VALUE"""),"Chrysalis is the Business Incubator of the Pontifical Catholic University of Valparaíso (PUCV). With more than eight years of existence and an active portfolio of dynamic ventures that exceeds 100 startups, it has been recognized for the third consecutive"&amp;" year (2015, 2016, 2017) as one of the most outstanding incubators in Chile and Latin America, according to the Swedish ranking UBI Global
Chrysalis has a value proposition focused on strengthening its ventures, through a complete and validated financing,"&amp;" support and permanent advice platform. Chrysalis delivers to its startups an incubation programs, mentoring, business contacts, co-incubation networks abroad, internationalization strategies, Perks (benefits), access to private investment, among other va"&amp;"luable services.")</f>
        <v>Chrysalis is the Business Incubator of the Pontifical Catholic University of Valparaíso (PUCV). With more than eight years of existence and an active portfolio of dynamic ventures that exceeds 100 startups, it has been recognized for the third consecutive year (2015, 2016, 2017) as one of the most outstanding incubators in Chile and Latin America, according to the Swedish ranking UBI Global
Chrysalis has a value proposition focused on strengthening its ventures, through a complete and validated financing, support and permanent advice platform. Chrysalis delivers to its startups an incubation programs, mentoring, business contacts, co-incubation networks abroad, internationalization strategies, Perks (benefits), access to private investment, among other valuable services.</v>
      </c>
      <c r="P118" s="1"/>
      <c r="Q118" s="1"/>
      <c r="R118" s="1"/>
      <c r="S118" s="1"/>
      <c r="T118" s="1"/>
      <c r="U118" s="1"/>
      <c r="V118" s="1"/>
      <c r="W118" s="1"/>
      <c r="X118" s="1"/>
      <c r="Y118" s="1"/>
      <c r="Z118" s="1"/>
    </row>
    <row r="119">
      <c r="A119" s="1" t="str">
        <f>IFERROR(__xludf.DUMMYFUNCTION("""COMPUTED_VALUE"""),"Cinepolis Accelerator")</f>
        <v>Cinepolis Accelerator</v>
      </c>
      <c r="B119" s="1" t="str">
        <f>IFERROR(__xludf.DUMMYFUNCTION("""COMPUTED_VALUE"""),"Accelerator")</f>
        <v>Accelerator</v>
      </c>
      <c r="C119" s="7" t="str">
        <f>IFERROR(__xludf.DUMMYFUNCTION("""COMPUTED_VALUE"""),"https://www.cinepolisaccelerator.com/")</f>
        <v>https://www.cinepolisaccelerator.com/</v>
      </c>
      <c r="D119" s="1" t="str">
        <f>IFERROR(__xludf.DUMMYFUNCTION("""COMPUTED_VALUE"""),"Mexico")</f>
        <v>Mexico</v>
      </c>
      <c r="E119" s="1"/>
      <c r="F119" s="1"/>
      <c r="G119" s="1"/>
      <c r="H119" s="1"/>
      <c r="I119" s="1"/>
      <c r="J119" s="1"/>
      <c r="K119" s="2"/>
      <c r="L119" s="2"/>
      <c r="M119" s="2"/>
      <c r="N119" s="3"/>
      <c r="O119" s="2" t="str">
        <f>IFERROR(__xludf.DUMMYFUNCTION("""COMPUTED_VALUE"""),"Cinépolis Accelerator is one of the most important accelerators in Latin America, started operations in 2013 with ""Seed Camp"" event in which startups to be chosen and have access to the acceleration program that opens annual call, has three past generat"&amp;"ions and 17 startups in its portfolio.")</f>
        <v>Cinépolis Accelerator is one of the most important accelerators in Latin America, started operations in 2013 with "Seed Camp" event in which startups to be chosen and have access to the acceleration program that opens annual call, has three past generations and 17 startups in its portfolio.</v>
      </c>
      <c r="P119" s="1" t="str">
        <f>IFERROR(__xludf.DUMMYFUNCTION("""COMPUTED_VALUE"""),"Closed")</f>
        <v>Closed</v>
      </c>
      <c r="Q119" s="1"/>
      <c r="R119" s="1"/>
      <c r="S119" s="1"/>
      <c r="T119" s="1"/>
      <c r="U119" s="1"/>
      <c r="V119" s="1"/>
      <c r="W119" s="1"/>
      <c r="X119" s="1"/>
      <c r="Y119" s="1"/>
      <c r="Z119" s="1"/>
    </row>
    <row r="120">
      <c r="A120" s="1" t="str">
        <f>IFERROR(__xludf.DUMMYFUNCTION("""COMPUTED_VALUE"""),"CITES")</f>
        <v>CITES</v>
      </c>
      <c r="B120" s="1" t="str">
        <f>IFERROR(__xludf.DUMMYFUNCTION("""COMPUTED_VALUE"""),"Accelerator")</f>
        <v>Accelerator</v>
      </c>
      <c r="C120" s="7" t="str">
        <f>IFERROR(__xludf.DUMMYFUNCTION("""COMPUTED_VALUE"""),"http://cites-gss.com/")</f>
        <v>http://cites-gss.com/</v>
      </c>
      <c r="D120" s="1" t="str">
        <f>IFERROR(__xludf.DUMMYFUNCTION("""COMPUTED_VALUE"""),"Argentina")</f>
        <v>Argentina</v>
      </c>
      <c r="E120" s="1"/>
      <c r="F120" s="1"/>
      <c r="G120" s="1"/>
      <c r="H120" s="1"/>
      <c r="I120" s="1"/>
      <c r="J120" s="1"/>
      <c r="K120" s="2"/>
      <c r="L120" s="2"/>
      <c r="M120" s="2"/>
      <c r="N120" s="3"/>
      <c r="O120" s="2" t="str">
        <f>IFERROR(__xludf.DUMMYFUNCTION("""COMPUTED_VALUE"""),"The Center for Technological Business and Social Innovation (CITES) of Sunchales is an initiative of the Sancor Seguros Group, a pioneer in the private sector in our country that relies on four scientific-technical areas: biotechnology, nanotechnology, en"&amp;"gineering and ICT's .
Our mission is to generate a conglomerate of technology-based companies, promote innovation of existing companies and exercise a binding role between research, productive, business and social sectors. To do so through interdisciplina"&amp;"ry support between technological and business areas, with the purpose of strengthening the scientific-technological, economic and social development of the region and the country.
We seek to contribute to the transformation of the productive matrix of the"&amp;" country by promoting the knowledge economy, creating a set of companies based on an interdisciplinary and self-sustainable model.")</f>
        <v>The Center for Technological Business and Social Innovation (CITES) of Sunchales is an initiative of the Sancor Seguros Group, a pioneer in the private sector in our country that relies on four scientific-technical areas: biotechnology, nanotechnology, engineering and ICT's .
Our mission is to generate a conglomerate of technology-based companies, promote innovation of existing companies and exercise a binding role between research, productive, business and social sectors. To do so through interdisciplinary support between technological and business areas, with the purpose of strengthening the scientific-technological, economic and social development of the region and the country.
We seek to contribute to the transformation of the productive matrix of the country by promoting the knowledge economy, creating a set of companies based on an interdisciplinary and self-sustainable model.</v>
      </c>
      <c r="P120" s="1"/>
      <c r="Q120" s="1"/>
      <c r="R120" s="1"/>
      <c r="S120" s="1"/>
      <c r="T120" s="1"/>
      <c r="U120" s="1"/>
      <c r="V120" s="1"/>
      <c r="W120" s="1"/>
      <c r="X120" s="1"/>
      <c r="Y120" s="1"/>
      <c r="Z120" s="1"/>
    </row>
    <row r="121">
      <c r="A121" s="1" t="str">
        <f>IFERROR(__xludf.DUMMYFUNCTION("""COMPUTED_VALUE"""),"City Hall Capital")</f>
        <v>City Hall Capital</v>
      </c>
      <c r="B121" s="1" t="str">
        <f>IFERROR(__xludf.DUMMYFUNCTION("""COMPUTED_VALUE"""),"Investment Firm")</f>
        <v>Investment Firm</v>
      </c>
      <c r="C121" s="7" t="str">
        <f>IFERROR(__xludf.DUMMYFUNCTION("""COMPUTED_VALUE"""),"https://www.cityhallcapital.com/")</f>
        <v>https://www.cityhallcapital.com/</v>
      </c>
      <c r="D121" s="1" t="str">
        <f>IFERROR(__xludf.DUMMYFUNCTION("""COMPUTED_VALUE"""),"United States of America")</f>
        <v>United States of America</v>
      </c>
      <c r="E121" s="1"/>
      <c r="F121" s="1"/>
      <c r="G121" s="1"/>
      <c r="H121" s="1"/>
      <c r="I121" s="1"/>
      <c r="J121" s="1"/>
      <c r="K121" s="2"/>
      <c r="L121" s="2"/>
      <c r="M121" s="2"/>
      <c r="N121" s="3"/>
      <c r="O121" s="2" t="str">
        <f>IFERROR(__xludf.DUMMYFUNCTION("""COMPUTED_VALUE"""),"City Hall Capital (‘CHC’) is a New York based boutique investment firm with deep experience investing in multiple asset classes. CHC has a diversified, global approach to investing in real estate, private equity, debt instruments and other alternative ass"&amp;"et classes across a wide range of sectors.")</f>
        <v>City Hall Capital (‘CHC’) is a New York based boutique investment firm with deep experience investing in multiple asset classes. CHC has a diversified, global approach to investing in real estate, private equity, debt instruments and other alternative asset classes across a wide range of sectors.</v>
      </c>
      <c r="P121" s="1"/>
      <c r="Q121" s="1"/>
      <c r="R121" s="1"/>
      <c r="S121" s="1"/>
      <c r="T121" s="1"/>
      <c r="U121" s="1"/>
      <c r="V121" s="1"/>
      <c r="W121" s="1"/>
      <c r="X121" s="1"/>
      <c r="Y121" s="1"/>
      <c r="Z121" s="1"/>
    </row>
    <row r="122">
      <c r="A122" s="1" t="str">
        <f>IFERROR(__xludf.DUMMYFUNCTION("""COMPUTED_VALUE"""),"Clocktower Technology Ventures")</f>
        <v>Clocktower Technology Ventures</v>
      </c>
      <c r="B122" s="1" t="str">
        <f>IFERROR(__xludf.DUMMYFUNCTION("""COMPUTED_VALUE"""),"Venture Capital Fund")</f>
        <v>Venture Capital Fund</v>
      </c>
      <c r="C122" s="7" t="str">
        <f>IFERROR(__xludf.DUMMYFUNCTION("""COMPUTED_VALUE"""),"https://www.clocktowerventures.com/")</f>
        <v>https://www.clocktowerventures.com/</v>
      </c>
      <c r="D122" s="1" t="str">
        <f>IFERROR(__xludf.DUMMYFUNCTION("""COMPUTED_VALUE"""),"United States of America")</f>
        <v>United States of America</v>
      </c>
      <c r="E122" s="1"/>
      <c r="F122" s="1"/>
      <c r="G122" s="1"/>
      <c r="H122" s="1"/>
      <c r="I122" s="1"/>
      <c r="J122" s="1"/>
      <c r="K122" s="2"/>
      <c r="L122" s="2"/>
      <c r="M122" s="2"/>
      <c r="N122" s="3"/>
      <c r="O122" s="2" t="str">
        <f>IFERROR(__xludf.DUMMYFUNCTION("""COMPUTED_VALUE"""),"Investing in people who make financial services better")</f>
        <v>Investing in people who make financial services better</v>
      </c>
      <c r="P122" s="1"/>
      <c r="Q122" s="1"/>
      <c r="R122" s="1"/>
      <c r="S122" s="1"/>
      <c r="T122" s="1"/>
      <c r="U122" s="1"/>
      <c r="V122" s="1"/>
      <c r="W122" s="1"/>
      <c r="X122" s="1"/>
      <c r="Y122" s="1"/>
      <c r="Z122" s="1"/>
    </row>
    <row r="123">
      <c r="A123" s="1" t="str">
        <f>IFERROR(__xludf.DUMMYFUNCTION("""COMPUTED_VALUE"""),"Clout Capital")</f>
        <v>Clout Capital</v>
      </c>
      <c r="B123" s="1" t="str">
        <f>IFERROR(__xludf.DUMMYFUNCTION("""COMPUTED_VALUE"""),"Venture Capital Fund")</f>
        <v>Venture Capital Fund</v>
      </c>
      <c r="C123" s="7" t="str">
        <f>IFERROR(__xludf.DUMMYFUNCTION("""COMPUTED_VALUE"""),"https://cloutcap.com/")</f>
        <v>https://cloutcap.com/</v>
      </c>
      <c r="D123" s="1" t="str">
        <f>IFERROR(__xludf.DUMMYFUNCTION("""COMPUTED_VALUE"""),"United States of America")</f>
        <v>United States of America</v>
      </c>
      <c r="E123" s="1" t="str">
        <f>IFERROR(__xludf.DUMMYFUNCTION("""COMPUTED_VALUE"""),"Latam")</f>
        <v>Latam</v>
      </c>
      <c r="F123" s="1"/>
      <c r="G123" s="1"/>
      <c r="H123" s="1" t="str">
        <f>IFERROR(__xludf.DUMMYFUNCTION("""COMPUTED_VALUE"""),"Y")</f>
        <v>Y</v>
      </c>
      <c r="I123" s="1"/>
      <c r="J123" s="1"/>
      <c r="K123" s="2" t="str">
        <f>IFERROR(__xludf.DUMMYFUNCTION("""COMPUTED_VALUE"""),"Latam")</f>
        <v>Latam</v>
      </c>
      <c r="L123" s="2" t="str">
        <f>IFERROR(__xludf.DUMMYFUNCTION("""COMPUTED_VALUE"""),"5M")</f>
        <v>5M</v>
      </c>
      <c r="M123" s="2"/>
      <c r="N123" s="3"/>
      <c r="O123" s="2" t="str">
        <f>IFERROR(__xludf.DUMMYFUNCTION("""COMPUTED_VALUE"""),"CLOUT CAPITAL is a Venture Capital Investment firm focused on technology in the Americas")</f>
        <v>CLOUT CAPITAL is a Venture Capital Investment firm focused on technology in the Americas</v>
      </c>
      <c r="P123" s="1"/>
      <c r="Q123" s="1"/>
      <c r="R123" s="1"/>
      <c r="S123" s="1"/>
      <c r="T123" s="1"/>
      <c r="U123" s="1"/>
      <c r="V123" s="1"/>
      <c r="W123" s="1"/>
      <c r="X123" s="1"/>
      <c r="Y123" s="1"/>
      <c r="Z123" s="1"/>
    </row>
    <row r="124">
      <c r="A124" s="1" t="str">
        <f>IFERROR(__xludf.DUMMYFUNCTION("""COMPUTED_VALUE"""),"Co-Pace")</f>
        <v>Co-Pace</v>
      </c>
      <c r="B124" s="1" t="str">
        <f>IFERROR(__xludf.DUMMYFUNCTION("""COMPUTED_VALUE"""),"Corporate Venture Fund")</f>
        <v>Corporate Venture Fund</v>
      </c>
      <c r="C124" s="7" t="str">
        <f>IFERROR(__xludf.DUMMYFUNCTION("""COMPUTED_VALUE"""),"https://www.co-pace.com/")</f>
        <v>https://www.co-pace.com/</v>
      </c>
      <c r="D124" s="1" t="str">
        <f>IFERROR(__xludf.DUMMYFUNCTION("""COMPUTED_VALUE"""),"Germany")</f>
        <v>Germany</v>
      </c>
      <c r="E124" s="1" t="str">
        <f>IFERROR(__xludf.DUMMYFUNCTION("""COMPUTED_VALUE"""),"Global")</f>
        <v>Global</v>
      </c>
      <c r="F124" s="1"/>
      <c r="G124" s="1"/>
      <c r="H124" s="1"/>
      <c r="I124" s="1"/>
      <c r="J124" s="1"/>
      <c r="K124" s="2" t="str">
        <f>IFERROR(__xludf.DUMMYFUNCTION("""COMPUTED_VALUE"""),"Global")</f>
        <v>Global</v>
      </c>
      <c r="L124" s="2"/>
      <c r="M124" s="2"/>
      <c r="N124" s="3"/>
      <c r="O124" s="2" t="str">
        <f>IFERROR(__xludf.DUMMYFUNCTION("""COMPUTED_VALUE"""),"The Continental Startup Program is comprised of three core elements:
Incubator: Inward-facing program to identify forward-looking intrapreneurs and their concepts
Startup co-operation: From concept to prototype: broker, empower and leverage connections be"&amp;"tween emerging companies and corporate departments
Investments: Venture Capital financing for leading-edge technologies and business models that are shaping the future of mobility")</f>
        <v>The Continental Startup Program is comprised of three core elements:
Incubator: Inward-facing program to identify forward-looking intrapreneurs and their concepts
Startup co-operation: From concept to prototype: broker, empower and leverage connections between emerging companies and corporate departments
Investments: Venture Capital financing for leading-edge technologies and business models that are shaping the future of mobility</v>
      </c>
      <c r="P124" s="1"/>
      <c r="Q124" s="1"/>
      <c r="R124" s="1"/>
      <c r="S124" s="1"/>
      <c r="T124" s="1"/>
      <c r="U124" s="1"/>
      <c r="V124" s="1"/>
      <c r="W124" s="1"/>
      <c r="X124" s="1"/>
      <c r="Y124" s="1"/>
      <c r="Z124" s="1"/>
    </row>
    <row r="125">
      <c r="A125" s="1" t="str">
        <f>IFERROR(__xludf.DUMMYFUNCTION("""COMPUTED_VALUE"""),"Colaborativo")</f>
        <v>Colaborativo</v>
      </c>
      <c r="B125" s="1" t="str">
        <f>IFERROR(__xludf.DUMMYFUNCTION("""COMPUTED_VALUE"""),"Accelerator")</f>
        <v>Accelerator</v>
      </c>
      <c r="C125" s="7" t="str">
        <f>IFERROR(__xludf.DUMMYFUNCTION("""COMPUTED_VALUE"""),"https://www.colaborativo.com.mx/")</f>
        <v>https://www.colaborativo.com.mx/</v>
      </c>
      <c r="D125" s="1" t="str">
        <f>IFERROR(__xludf.DUMMYFUNCTION("""COMPUTED_VALUE"""),"Mexico")</f>
        <v>Mexico</v>
      </c>
      <c r="E125" s="1"/>
      <c r="F125" s="1"/>
      <c r="G125" s="1"/>
      <c r="H125" s="1"/>
      <c r="I125" s="1"/>
      <c r="J125" s="1"/>
      <c r="K125" s="2"/>
      <c r="L125" s="2"/>
      <c r="M125" s="2"/>
      <c r="N125" s="3"/>
      <c r="O125" s="2" t="str">
        <f>IFERROR(__xludf.DUMMYFUNCTION("""COMPUTED_VALUE"""),"Impact Tech &amp; Open Innovation")</f>
        <v>Impact Tech &amp; Open Innovation</v>
      </c>
      <c r="P125" s="1"/>
      <c r="Q125" s="1"/>
      <c r="R125" s="1"/>
      <c r="S125" s="1"/>
      <c r="T125" s="1"/>
      <c r="U125" s="1"/>
      <c r="V125" s="1"/>
      <c r="W125" s="1"/>
      <c r="X125" s="1"/>
      <c r="Y125" s="1"/>
      <c r="Z125" s="1"/>
    </row>
    <row r="126">
      <c r="A126" s="1" t="str">
        <f>IFERROR(__xludf.DUMMYFUNCTION("""COMPUTED_VALUE"""),"Cometa (formerly Variv Capital)")</f>
        <v>Cometa (formerly Variv Capital)</v>
      </c>
      <c r="B126" s="1" t="str">
        <f>IFERROR(__xludf.DUMMYFUNCTION("""COMPUTED_VALUE"""),"Venture Capital Fund, Venture Builder")</f>
        <v>Venture Capital Fund, Venture Builder</v>
      </c>
      <c r="C126" s="7" t="str">
        <f>IFERROR(__xludf.DUMMYFUNCTION("""COMPUTED_VALUE"""),"http://variv.com/")</f>
        <v>http://variv.com/</v>
      </c>
      <c r="D126" s="1" t="str">
        <f>IFERROR(__xludf.DUMMYFUNCTION("""COMPUTED_VALUE"""),"Mexico")</f>
        <v>Mexico</v>
      </c>
      <c r="E126" s="1"/>
      <c r="F126" s="1"/>
      <c r="G126" s="1"/>
      <c r="H126" s="1"/>
      <c r="I126" s="1"/>
      <c r="J126" s="1"/>
      <c r="K126" s="2"/>
      <c r="L126" s="2"/>
      <c r="M126" s="2"/>
      <c r="N126" s="3"/>
      <c r="O126" s="2" t="str">
        <f>IFERROR(__xludf.DUMMYFUNCTION("""COMPUTED_VALUE"""),"Investing in technology companies for the Spanish speaking world since 2012.")</f>
        <v>Investing in technology companies for the Spanish speaking world since 2012.</v>
      </c>
      <c r="P126" s="1"/>
      <c r="Q126" s="1"/>
      <c r="R126" s="1"/>
      <c r="S126" s="1"/>
      <c r="T126" s="1"/>
      <c r="U126" s="1"/>
      <c r="V126" s="1"/>
      <c r="W126" s="1"/>
      <c r="X126" s="1"/>
      <c r="Y126" s="1"/>
      <c r="Z126" s="1"/>
    </row>
    <row r="127">
      <c r="A127" s="1" t="str">
        <f>IFERROR(__xludf.DUMMYFUNCTION("""COMPUTED_VALUE"""),"Connovo")</f>
        <v>Connovo</v>
      </c>
      <c r="B127" s="1" t="str">
        <f>IFERROR(__xludf.DUMMYFUNCTION("""COMPUTED_VALUE"""),"Venture Capital &amp; Private Equity")</f>
        <v>Venture Capital &amp; Private Equity</v>
      </c>
      <c r="C127" s="7" t="str">
        <f>IFERROR(__xludf.DUMMYFUNCTION("""COMPUTED_VALUE"""),"http://www.connovo.org/")</f>
        <v>http://www.connovo.org/</v>
      </c>
      <c r="D127" s="1" t="str">
        <f>IFERROR(__xludf.DUMMYFUNCTION("""COMPUTED_VALUE"""),"Mexico")</f>
        <v>Mexico</v>
      </c>
      <c r="E127" s="1"/>
      <c r="F127" s="1"/>
      <c r="G127" s="1"/>
      <c r="H127" s="1"/>
      <c r="I127" s="1"/>
      <c r="J127" s="1"/>
      <c r="K127" s="2"/>
      <c r="L127" s="2"/>
      <c r="M127" s="2"/>
      <c r="N127" s="3"/>
      <c r="O127" s="2" t="str">
        <f>IFERROR(__xludf.DUMMYFUNCTION("""COMPUTED_VALUE"""),"Connovo is the first impact venture builder in Mexico. Our mission is to build social businesses to provide access to quality opportunities for most Mexicans.
As a venture builder, Connovo creates companies with high potential of impact, scale and profit"&amp;"ability. However, instead of building them from scratch, we leverage successful experiences in other parts of the world that can be adapted and adopted in a context such as Mexico.")</f>
        <v>Connovo is the first impact venture builder in Mexico. Our mission is to build social businesses to provide access to quality opportunities for most Mexicans.
As a venture builder, Connovo creates companies with high potential of impact, scale and profitability. However, instead of building them from scratch, we leverage successful experiences in other parts of the world that can be adapted and adopted in a context such as Mexico.</v>
      </c>
      <c r="P127" s="1"/>
      <c r="Q127" s="1"/>
      <c r="R127" s="1"/>
      <c r="S127" s="1"/>
      <c r="T127" s="1"/>
      <c r="U127" s="1"/>
      <c r="V127" s="1"/>
      <c r="W127" s="1"/>
      <c r="X127" s="1"/>
      <c r="Y127" s="1"/>
      <c r="Z127" s="1"/>
    </row>
    <row r="128">
      <c r="A128" s="1" t="str">
        <f>IFERROR(__xludf.DUMMYFUNCTION("""COMPUTED_VALUE"""),"CRP Companhia de Participações")</f>
        <v>CRP Companhia de Participações</v>
      </c>
      <c r="B128" s="1" t="str">
        <f>IFERROR(__xludf.DUMMYFUNCTION("""COMPUTED_VALUE"""),"Venture Capital Fund")</f>
        <v>Venture Capital Fund</v>
      </c>
      <c r="C128" s="7" t="str">
        <f>IFERROR(__xludf.DUMMYFUNCTION("""COMPUTED_VALUE"""),"https://www.crp.com.br/")</f>
        <v>https://www.crp.com.br/</v>
      </c>
      <c r="D128" s="1" t="str">
        <f>IFERROR(__xludf.DUMMYFUNCTION("""COMPUTED_VALUE"""),"Brazil")</f>
        <v>Brazil</v>
      </c>
      <c r="E128" s="1"/>
      <c r="F128" s="1"/>
      <c r="G128" s="1"/>
      <c r="H128" s="1"/>
      <c r="I128" s="1"/>
      <c r="J128" s="1"/>
      <c r="K128" s="2"/>
      <c r="L128" s="2"/>
      <c r="M128" s="2"/>
      <c r="N128" s="3"/>
      <c r="O128" s="2" t="str">
        <f>IFERROR(__xludf.DUMMYFUNCTION("""COMPUTED_VALUE"""),"CRP Companhia de Participações is a private equity and venture capital firm specializing in seed, start-ups, early stage, PIPES, industry consolidation, growth capital and mezzanine financing in emerging companies. It invests across a wide range of sector"&amp;"s, specially information technology, biotechnology, and Internet. The firm prefers to invest in Brazil with a focus on state of Rio Grande do Sul, and the southern and southeastern regions of Brazil. It typically invests between $1.4 million and $35.3 mil"&amp;"lion in its portfolio companies with enterprise values upto $70.68 million. The firm prefers to invest in companies with a sales value between R$3 million ($1.65 million) and R$150 million ($82.32 million). The firm typically prefers to hold a minority st"&amp;"ake in its portfolio companies. It seeks to exit its investments between four to eight years. The firm also offers financial services with a focus on fund raising, mergers and acquisitions, and corporate restructuring for both its portfolio companies and "&amp;"third party businesses. CRP Companhia de Participações was founded on December 22, 1981 and is based in Porto Alegre, Brazil with an additional office in Florianopolis, Brazil.")</f>
        <v>CRP Companhia de Participações is a private equity and venture capital firm specializing in seed, start-ups, early stage, PIPES, industry consolidation, growth capital and mezzanine financing in emerging companies. It invests across a wide range of sectors, specially information technology, biotechnology, and Internet. The firm prefers to invest in Brazil with a focus on state of Rio Grande do Sul, and the southern and southeastern regions of Brazil. It typically invests between $1.4 million and $35.3 million in its portfolio companies with enterprise values upto $70.68 million. The firm prefers to invest in companies with a sales value between R$3 million ($1.65 million) and R$150 million ($82.32 million). The firm typically prefers to hold a minority stake in its portfolio companies. It seeks to exit its investments between four to eight years. The firm also offers financial services with a focus on fund raising, mergers and acquisitions, and corporate restructuring for both its portfolio companies and third party businesses. CRP Companhia de Participações was founded on December 22, 1981 and is based in Porto Alegre, Brazil with an additional office in Florianopolis, Brazil.</v>
      </c>
      <c r="P128" s="1"/>
      <c r="Q128" s="1"/>
      <c r="R128" s="1"/>
      <c r="S128" s="1"/>
      <c r="T128" s="1"/>
      <c r="U128" s="1"/>
      <c r="V128" s="1"/>
      <c r="W128" s="1"/>
      <c r="X128" s="1"/>
      <c r="Y128" s="1"/>
      <c r="Z128" s="1"/>
    </row>
    <row r="129">
      <c r="A129" s="1" t="str">
        <f>IFERROR(__xludf.DUMMYFUNCTION("""COMPUTED_VALUE"""),"Cygnus Capital")</f>
        <v>Cygnus Capital</v>
      </c>
      <c r="B129" s="1" t="str">
        <f>IFERROR(__xludf.DUMMYFUNCTION("""COMPUTED_VALUE"""),"Venture Capital Fund")</f>
        <v>Venture Capital Fund</v>
      </c>
      <c r="C129" s="7" t="str">
        <f>IFERROR(__xludf.DUMMYFUNCTION("""COMPUTED_VALUE"""),"http://www.cygnusvc.com/")</f>
        <v>http://www.cygnusvc.com/</v>
      </c>
      <c r="D129" s="1" t="str">
        <f>IFERROR(__xludf.DUMMYFUNCTION("""COMPUTED_VALUE"""),"Argentina")</f>
        <v>Argentina</v>
      </c>
      <c r="E129" s="1"/>
      <c r="F129" s="1"/>
      <c r="G129" s="1"/>
      <c r="H129" s="1"/>
      <c r="I129" s="1"/>
      <c r="J129" s="1"/>
      <c r="K129" s="2"/>
      <c r="L129" s="2"/>
      <c r="M129" s="2"/>
      <c r="N129" s="3"/>
      <c r="O129" s="2" t="str">
        <f>IFERROR(__xludf.DUMMYFUNCTION("""COMPUTED_VALUE"""),"Cygnus VC is a venture capital firm focused on start ups and early stage technology companies in Latin America. We invest in companies all over the digital economy: consumer internet, B2C and B2B, marketplaces, digital media, media networks, internet gami"&amp;"ng, mobile applications, social networks, software and SAAS.")</f>
        <v>Cygnus VC is a venture capital firm focused on start ups and early stage technology companies in Latin America. We invest in companies all over the digital economy: consumer internet, B2C and B2B, marketplaces, digital media, media networks, internet gaming, mobile applications, social networks, software and SAAS.</v>
      </c>
      <c r="P129" s="1"/>
      <c r="Q129" s="1"/>
      <c r="R129" s="1"/>
      <c r="S129" s="1"/>
      <c r="T129" s="1"/>
      <c r="U129" s="1"/>
      <c r="V129" s="1"/>
      <c r="W129" s="1"/>
      <c r="X129" s="1"/>
      <c r="Y129" s="1"/>
      <c r="Z129" s="1"/>
    </row>
    <row r="130">
      <c r="A130" s="1" t="str">
        <f>IFERROR(__xludf.DUMMYFUNCTION("""COMPUTED_VALUE"""),"da Vinci labs")</f>
        <v>da Vinci labs</v>
      </c>
      <c r="B130" s="1" t="str">
        <f>IFERROR(__xludf.DUMMYFUNCTION("""COMPUTED_VALUE"""),"Accelerator")</f>
        <v>Accelerator</v>
      </c>
      <c r="C130" s="7" t="str">
        <f>IFERROR(__xludf.DUMMYFUNCTION("""COMPUTED_VALUE"""),"http://davinci.lat/")</f>
        <v>http://davinci.lat/</v>
      </c>
      <c r="D130" s="1" t="str">
        <f>IFERROR(__xludf.DUMMYFUNCTION("""COMPUTED_VALUE"""),"Uruguay")</f>
        <v>Uruguay</v>
      </c>
      <c r="E130" s="1"/>
      <c r="F130" s="1"/>
      <c r="G130" s="1"/>
      <c r="H130" s="1"/>
      <c r="I130" s="1"/>
      <c r="J130" s="1"/>
      <c r="K130" s="2"/>
      <c r="L130" s="2"/>
      <c r="M130" s="2"/>
      <c r="N130" s="3"/>
      <c r="O130" s="2" t="str">
        <f>IFERROR(__xludf.DUMMYFUNCTION("""COMPUTED_VALUE"""),"da Vinci Foundation aims at strengthening and spreading the entrepreneurial culture focusing on the young population.
Supporting and empowering founders and starters involved in the creation and grow of Information Technology based business solutions, the"&amp;" Foundation is looking to transform and develop the society through economic and social inclusion. With headquarters in Montevideo (Uruguay), the Foundation is committed to making an impact across Latin America. Its motto is: people + entrepreneurship + t"&amp;"echnology.")</f>
        <v>da Vinci Foundation aims at strengthening and spreading the entrepreneurial culture focusing on the young population.
Supporting and empowering founders and starters involved in the creation and grow of Information Technology based business solutions, the Foundation is looking to transform and develop the society through economic and social inclusion. With headquarters in Montevideo (Uruguay), the Foundation is committed to making an impact across Latin America. Its motto is: people + entrepreneurship + technology.</v>
      </c>
      <c r="P130" s="1"/>
      <c r="Q130" s="1"/>
      <c r="R130" s="1"/>
      <c r="S130" s="1"/>
      <c r="T130" s="1"/>
      <c r="U130" s="1"/>
      <c r="V130" s="1"/>
      <c r="W130" s="1"/>
      <c r="X130" s="1"/>
      <c r="Y130" s="1"/>
      <c r="Z130" s="1"/>
    </row>
    <row r="131">
      <c r="A131" s="1" t="str">
        <f>IFERROR(__xludf.DUMMYFUNCTION("""COMPUTED_VALUE"""),"Dadneo")</f>
        <v>Dadneo</v>
      </c>
      <c r="B131" s="1" t="str">
        <f>IFERROR(__xludf.DUMMYFUNCTION("""COMPUTED_VALUE"""),"Venture Capital Fund")</f>
        <v>Venture Capital Fund</v>
      </c>
      <c r="C131" s="7" t="str">
        <f>IFERROR(__xludf.DUMMYFUNCTION("""COMPUTED_VALUE"""),"https://www.dadneo.com/")</f>
        <v>https://www.dadneo.com/</v>
      </c>
      <c r="D131" s="1" t="str">
        <f>IFERROR(__xludf.DUMMYFUNCTION("""COMPUTED_VALUE"""),"Chile")</f>
        <v>Chile</v>
      </c>
      <c r="E131" s="1"/>
      <c r="F131" s="1" t="str">
        <f>IFERROR(__xludf.DUMMYFUNCTION("""COMPUTED_VALUE"""),"Y")</f>
        <v>Y</v>
      </c>
      <c r="G131" s="1" t="str">
        <f>IFERROR(__xludf.DUMMYFUNCTION("""COMPUTED_VALUE"""),"Y")</f>
        <v>Y</v>
      </c>
      <c r="H131" s="1"/>
      <c r="I131" s="1"/>
      <c r="J131" s="1"/>
      <c r="K131" s="2"/>
      <c r="L131" s="2"/>
      <c r="M131" s="2"/>
      <c r="N131" s="3"/>
      <c r="O131" s="2" t="str">
        <f>IFERROR(__xludf.DUMMYFUNCTION("""COMPUTED_VALUE"""),"Dadneo enhances the ecosystem of entrepreneurship and innovation by connecting early-stage startups with the venture capital LatAm industry.")</f>
        <v>Dadneo enhances the ecosystem of entrepreneurship and innovation by connecting early-stage startups with the venture capital LatAm industry.</v>
      </c>
      <c r="P131" s="1"/>
      <c r="Q131" s="1"/>
      <c r="R131" s="1"/>
      <c r="S131" s="1"/>
      <c r="T131" s="1"/>
      <c r="U131" s="1"/>
      <c r="V131" s="1"/>
      <c r="W131" s="1"/>
      <c r="X131" s="1"/>
      <c r="Y131" s="1"/>
      <c r="Z131" s="1"/>
    </row>
    <row r="132">
      <c r="A132" s="1" t="str">
        <f>IFERROR(__xludf.DUMMYFUNCTION("""COMPUTED_VALUE"""),"Dark Horse Ventures")</f>
        <v>Dark Horse Ventures</v>
      </c>
      <c r="B132" s="1" t="str">
        <f>IFERROR(__xludf.DUMMYFUNCTION("""COMPUTED_VALUE"""),"Venture Capital Fund")</f>
        <v>Venture Capital Fund</v>
      </c>
      <c r="C132" s="7" t="str">
        <f>IFERROR(__xludf.DUMMYFUNCTION("""COMPUTED_VALUE"""),"http://darkhorse.mx/")</f>
        <v>http://darkhorse.mx/</v>
      </c>
      <c r="D132" s="1" t="str">
        <f>IFERROR(__xludf.DUMMYFUNCTION("""COMPUTED_VALUE"""),"Mexico")</f>
        <v>Mexico</v>
      </c>
      <c r="E132" s="1"/>
      <c r="F132" s="1"/>
      <c r="G132" s="1" t="str">
        <f>IFERROR(__xludf.DUMMYFUNCTION("""COMPUTED_VALUE"""),"Y")</f>
        <v>Y</v>
      </c>
      <c r="H132" s="1"/>
      <c r="I132" s="1"/>
      <c r="J132" s="1"/>
      <c r="K132" s="2"/>
      <c r="L132" s="2"/>
      <c r="M132" s="2"/>
      <c r="N132" s="3"/>
      <c r="O132" s="2" t="str">
        <f>IFERROR(__xludf.DUMMYFUNCTION("""COMPUTED_VALUE"""),"Connecting US investors with the very best in Mexican startups")</f>
        <v>Connecting US investors with the very best in Mexican startups</v>
      </c>
      <c r="P132" s="1"/>
      <c r="Q132" s="1"/>
      <c r="R132" s="1"/>
      <c r="S132" s="1"/>
      <c r="T132" s="1"/>
      <c r="U132" s="1"/>
      <c r="V132" s="1"/>
      <c r="W132" s="1"/>
      <c r="X132" s="1"/>
      <c r="Y132" s="1"/>
      <c r="Z132" s="1"/>
    </row>
    <row r="133">
      <c r="A133" s="1" t="str">
        <f>IFERROR(__xludf.DUMMYFUNCTION("""COMPUTED_VALUE"""),"Darwin Startups")</f>
        <v>Darwin Startups</v>
      </c>
      <c r="B133" s="1" t="str">
        <f>IFERROR(__xludf.DUMMYFUNCTION("""COMPUTED_VALUE"""),"Accelerator")</f>
        <v>Accelerator</v>
      </c>
      <c r="C133" s="7" t="str">
        <f>IFERROR(__xludf.DUMMYFUNCTION("""COMPUTED_VALUE"""),"http://darwinstartups.com/")</f>
        <v>http://darwinstartups.com/</v>
      </c>
      <c r="D133" s="1" t="str">
        <f>IFERROR(__xludf.DUMMYFUNCTION("""COMPUTED_VALUE"""),"Brazil")</f>
        <v>Brazil</v>
      </c>
      <c r="E133" s="1"/>
      <c r="F133" s="1"/>
      <c r="G133" s="1"/>
      <c r="H133" s="1"/>
      <c r="I133" s="1"/>
      <c r="J133" s="1"/>
      <c r="K133" s="2"/>
      <c r="L133" s="2"/>
      <c r="M133" s="2"/>
      <c r="N133" s="3"/>
      <c r="O133" s="2" t="str">
        <f>IFERROR(__xludf.DUMMYFUNCTION("""COMPUTED_VALUE"""),"Darwin Startups is more than just a startup accelerator. We are a community of entrepreneurs, mentors and specialists who provide all the support for startups to grow.
Building a business is not simple, so we believe that upfront investment, access to a s"&amp;"trong network and capacity building are essential elements for new businesses to survive and grow into big companies.")</f>
        <v>Darwin Startups is more than just a startup accelerator. We are a community of entrepreneurs, mentors and specialists who provide all the support for startups to grow.
Building a business is not simple, so we believe that upfront investment, access to a strong network and capacity building are essential elements for new businesses to survive and grow into big companies.</v>
      </c>
      <c r="P133" s="1"/>
      <c r="Q133" s="1"/>
      <c r="R133" s="1"/>
      <c r="S133" s="1"/>
      <c r="T133" s="1"/>
      <c r="U133" s="1"/>
      <c r="V133" s="1"/>
      <c r="W133" s="1"/>
      <c r="X133" s="1"/>
      <c r="Y133" s="1"/>
      <c r="Z133" s="1"/>
    </row>
    <row r="134">
      <c r="A134" s="1" t="str">
        <f>IFERROR(__xludf.DUMMYFUNCTION("""COMPUTED_VALUE"""),"DGF Investimentos")</f>
        <v>DGF Investimentos</v>
      </c>
      <c r="B134" s="1" t="str">
        <f>IFERROR(__xludf.DUMMYFUNCTION("""COMPUTED_VALUE"""),"Private Equity Firm")</f>
        <v>Private Equity Firm</v>
      </c>
      <c r="C134" s="7" t="str">
        <f>IFERROR(__xludf.DUMMYFUNCTION("""COMPUTED_VALUE"""),"https://www.dgf.com.br/")</f>
        <v>https://www.dgf.com.br/</v>
      </c>
      <c r="D134" s="1" t="str">
        <f>IFERROR(__xludf.DUMMYFUNCTION("""COMPUTED_VALUE"""),"Brazil")</f>
        <v>Brazil</v>
      </c>
      <c r="E134" s="1"/>
      <c r="F134" s="1"/>
      <c r="G134" s="1"/>
      <c r="H134" s="1"/>
      <c r="I134" s="1"/>
      <c r="J134" s="1"/>
      <c r="K134" s="2"/>
      <c r="L134" s="2"/>
      <c r="M134" s="2"/>
      <c r="N134" s="3"/>
      <c r="O134" s="2" t="str">
        <f>IFERROR(__xludf.DUMMYFUNCTION("""COMPUTED_VALUE"""),"DGF Investimentos is a leading Brazilian investment group.  We currently manage a family of funds invested mainly by large institutional and individual investors.  Our focus is on growth type investments in small to mid-sized enterprises in Brazil, especi"&amp;"ally in the technology space. Historically, DGF and its team have completed close to forty investments with several successful exits.")</f>
        <v>DGF Investimentos is a leading Brazilian investment group.  We currently manage a family of funds invested mainly by large institutional and individual investors.  Our focus is on growth type investments in small to mid-sized enterprises in Brazil, especially in the technology space. Historically, DGF and its team have completed close to forty investments with several successful exits.</v>
      </c>
      <c r="P134" s="1"/>
      <c r="Q134" s="1"/>
      <c r="R134" s="1"/>
      <c r="S134" s="1"/>
      <c r="T134" s="1"/>
      <c r="U134" s="1"/>
      <c r="V134" s="1"/>
      <c r="W134" s="1"/>
      <c r="X134" s="1"/>
      <c r="Y134" s="1"/>
      <c r="Z134" s="1"/>
    </row>
    <row r="135">
      <c r="A135" s="1" t="str">
        <f>IFERROR(__xludf.DUMMYFUNCTION("""COMPUTED_VALUE"""),"DILA Capital")</f>
        <v>DILA Capital</v>
      </c>
      <c r="B135" s="1" t="str">
        <f>IFERROR(__xludf.DUMMYFUNCTION("""COMPUTED_VALUE"""),"Venture Capital Fund")</f>
        <v>Venture Capital Fund</v>
      </c>
      <c r="C135" s="7" t="str">
        <f>IFERROR(__xludf.DUMMYFUNCTION("""COMPUTED_VALUE"""),"www.dilacapital.com/")</f>
        <v>www.dilacapital.com/</v>
      </c>
      <c r="D135" s="1" t="str">
        <f>IFERROR(__xludf.DUMMYFUNCTION("""COMPUTED_VALUE"""),"Mexico")</f>
        <v>Mexico</v>
      </c>
      <c r="E135" s="1"/>
      <c r="F135" s="1"/>
      <c r="G135" s="1" t="str">
        <f>IFERROR(__xludf.DUMMYFUNCTION("""COMPUTED_VALUE"""),"Y")</f>
        <v>Y</v>
      </c>
      <c r="H135" s="1" t="str">
        <f>IFERROR(__xludf.DUMMYFUNCTION("""COMPUTED_VALUE"""),"Y")</f>
        <v>Y</v>
      </c>
      <c r="I135" s="1"/>
      <c r="J135" s="1"/>
      <c r="K135" s="2"/>
      <c r="L135" s="2"/>
      <c r="M135" s="2"/>
      <c r="N135" s="3"/>
      <c r="O135" s="2" t="str">
        <f>IFERROR(__xludf.DUMMYFUNCTION("""COMPUTED_VALUE"""),"DILA Capital, founded in 2011, is a multi-stage Venture Capital firm based in Mexico City dedicated to investing in early-stage companies. Its successful and unique proven methodology investing in top class opportunities, creates value and improves entrep"&amp;"reneurial management and operation by providing access to its experienced business network.
With over 15 years’ experience participating in the entrepreneurial ecosystem, DILA’s Partners have been involved in consulting, mentoring, accelerating and invest"&amp;"ing in Mexican start-ups as founders, operators and investors. DILA Capital solid reputation and main asset, is its access to diversified pipeline opportunities generated through its own network. According to INADEM, DILA Capital is considered to have one"&amp;" of the largest and highest quality venture capital deal flows in the Mexican market.")</f>
        <v>DILA Capital, founded in 2011, is a multi-stage Venture Capital firm based in Mexico City dedicated to investing in early-stage companies. Its successful and unique proven methodology investing in top class opportunities, creates value and improves entrepreneurial management and operation by providing access to its experienced business network.
With over 15 years’ experience participating in the entrepreneurial ecosystem, DILA’s Partners have been involved in consulting, mentoring, accelerating and investing in Mexican start-ups as founders, operators and investors. DILA Capital solid reputation and main asset, is its access to diversified pipeline opportunities generated through its own network. According to INADEM, DILA Capital is considered to have one of the largest and highest quality venture capital deal flows in the Mexican market.</v>
      </c>
      <c r="P135" s="1"/>
      <c r="Q135" s="1"/>
      <c r="R135" s="1"/>
      <c r="S135" s="1"/>
      <c r="T135" s="1"/>
      <c r="U135" s="1"/>
      <c r="V135" s="1"/>
      <c r="W135" s="1"/>
      <c r="X135" s="1"/>
      <c r="Y135" s="1"/>
      <c r="Z135" s="1"/>
    </row>
    <row r="136">
      <c r="A136" s="1" t="str">
        <f>IFERROR(__xludf.DUMMYFUNCTION("""COMPUTED_VALUE"""),"DOMO Invest")</f>
        <v>DOMO Invest</v>
      </c>
      <c r="B136" s="1" t="str">
        <f>IFERROR(__xludf.DUMMYFUNCTION("""COMPUTED_VALUE"""),"Venture Capital Fund")</f>
        <v>Venture Capital Fund</v>
      </c>
      <c r="C136" s="7" t="str">
        <f>IFERROR(__xludf.DUMMYFUNCTION("""COMPUTED_VALUE"""),"http://www.domoinvest.com.br/")</f>
        <v>http://www.domoinvest.com.br/</v>
      </c>
      <c r="D136" s="1" t="str">
        <f>IFERROR(__xludf.DUMMYFUNCTION("""COMPUTED_VALUE"""),"Brazil")</f>
        <v>Brazil</v>
      </c>
      <c r="E136" s="1"/>
      <c r="F136" s="1"/>
      <c r="G136" s="1"/>
      <c r="H136" s="1"/>
      <c r="I136" s="1"/>
      <c r="J136" s="1"/>
      <c r="K136" s="2"/>
      <c r="L136" s="2"/>
      <c r="M136" s="2"/>
      <c r="N136" s="3"/>
      <c r="O136" s="2" t="str">
        <f>IFERROR(__xludf.DUMMYFUNCTION("""COMPUTED_VALUE"""),"DOMO Invest is a leading venture capital firm in Brazil that invests in best in class entrepreneurs.")</f>
        <v>DOMO Invest is a leading venture capital firm in Brazil that invests in best in class entrepreneurs.</v>
      </c>
      <c r="P136" s="1"/>
      <c r="Q136" s="1"/>
      <c r="R136" s="1"/>
      <c r="S136" s="1"/>
      <c r="T136" s="1"/>
      <c r="U136" s="1"/>
      <c r="V136" s="1"/>
      <c r="W136" s="1"/>
      <c r="X136" s="1"/>
      <c r="Y136" s="1"/>
      <c r="Z136" s="1"/>
    </row>
    <row r="137">
      <c r="A137" s="1" t="str">
        <f>IFERROR(__xludf.DUMMYFUNCTION("""COMPUTED_VALUE"""),"Draper B1")</f>
        <v>Draper B1</v>
      </c>
      <c r="B137" s="1" t="str">
        <f>IFERROR(__xludf.DUMMYFUNCTION("""COMPUTED_VALUE"""),"Venture Capital Fund")</f>
        <v>Venture Capital Fund</v>
      </c>
      <c r="C137" s="7" t="str">
        <f>IFERROR(__xludf.DUMMYFUNCTION("""COMPUTED_VALUE"""),"https://draperb1.vc/")</f>
        <v>https://draperb1.vc/</v>
      </c>
      <c r="D137" s="1" t="str">
        <f>IFERROR(__xludf.DUMMYFUNCTION("""COMPUTED_VALUE"""),"Spain")</f>
        <v>Spain</v>
      </c>
      <c r="E137" s="1"/>
      <c r="F137" s="1"/>
      <c r="G137" s="1"/>
      <c r="H137" s="1"/>
      <c r="I137" s="1"/>
      <c r="J137" s="1"/>
      <c r="K137" s="2"/>
      <c r="L137" s="2"/>
      <c r="M137" s="2"/>
      <c r="N137" s="3"/>
      <c r="O137" s="2" t="str">
        <f>IFERROR(__xludf.DUMMYFUNCTION("""COMPUTED_VALUE"""),"Draper B1 is a seed and early-stage venture capital firm that invests in B2B and B2B2C startups.")</f>
        <v>Draper B1 is a seed and early-stage venture capital firm that invests in B2B and B2B2C startups.</v>
      </c>
      <c r="P137" s="1"/>
      <c r="Q137" s="1"/>
      <c r="R137" s="1"/>
      <c r="S137" s="1"/>
      <c r="T137" s="1"/>
      <c r="U137" s="1"/>
      <c r="V137" s="1"/>
      <c r="W137" s="1"/>
      <c r="X137" s="1"/>
      <c r="Y137" s="1"/>
      <c r="Z137" s="1"/>
    </row>
    <row r="138">
      <c r="A138" s="1" t="str">
        <f>IFERROR(__xludf.DUMMYFUNCTION("""COMPUTED_VALUE"""),"DST")</f>
        <v>DST</v>
      </c>
      <c r="B138" s="1" t="str">
        <f>IFERROR(__xludf.DUMMYFUNCTION("""COMPUTED_VALUE"""),"Corporate Venture Fund")</f>
        <v>Corporate Venture Fund</v>
      </c>
      <c r="C138" s="7" t="str">
        <f>IFERROR(__xludf.DUMMYFUNCTION("""COMPUTED_VALUE"""),"https://dst-global.com/")</f>
        <v>https://dst-global.com/</v>
      </c>
      <c r="D138" s="1" t="str">
        <f>IFERROR(__xludf.DUMMYFUNCTION("""COMPUTED_VALUE"""),"Hong Kong")</f>
        <v>Hong Kong</v>
      </c>
      <c r="E138" s="1"/>
      <c r="F138" s="1"/>
      <c r="G138" s="1"/>
      <c r="H138" s="1"/>
      <c r="I138" s="1"/>
      <c r="J138" s="1"/>
      <c r="K138" s="2"/>
      <c r="L138" s="2"/>
      <c r="M138" s="2"/>
      <c r="N138" s="3"/>
      <c r="O138" s="2" t="str">
        <f>IFERROR(__xludf.DUMMYFUNCTION("""COMPUTED_VALUE"""),"DST Global is an investment company that funds late-stage ventures in the global internet industry.")</f>
        <v>DST Global is an investment company that funds late-stage ventures in the global internet industry.</v>
      </c>
      <c r="P138" s="1"/>
      <c r="Q138" s="1"/>
      <c r="R138" s="1"/>
      <c r="S138" s="1"/>
      <c r="T138" s="1"/>
      <c r="U138" s="1"/>
      <c r="V138" s="1"/>
      <c r="W138" s="1"/>
      <c r="X138" s="1"/>
      <c r="Y138" s="1"/>
      <c r="Z138" s="1"/>
    </row>
    <row r="139">
      <c r="A139" s="1" t="str">
        <f>IFERROR(__xludf.DUMMYFUNCTION("""COMPUTED_VALUE"""),"E Capital")</f>
        <v>E Capital</v>
      </c>
      <c r="B139" s="1" t="str">
        <f>IFERROR(__xludf.DUMMYFUNCTION("""COMPUTED_VALUE"""),"Venture Capital Fund")</f>
        <v>Venture Capital Fund</v>
      </c>
      <c r="C139" s="7" t="str">
        <f>IFERROR(__xludf.DUMMYFUNCTION("""COMPUTED_VALUE"""),"http://www.ecapital.com.mx/")</f>
        <v>http://www.ecapital.com.mx/</v>
      </c>
      <c r="D139" s="1" t="str">
        <f>IFERROR(__xludf.DUMMYFUNCTION("""COMPUTED_VALUE"""),"Mexico")</f>
        <v>Mexico</v>
      </c>
      <c r="E139" s="1"/>
      <c r="F139" s="1"/>
      <c r="G139" s="1" t="str">
        <f>IFERROR(__xludf.DUMMYFUNCTION("""COMPUTED_VALUE"""),"Y")</f>
        <v>Y</v>
      </c>
      <c r="H139" s="1" t="str">
        <f>IFERROR(__xludf.DUMMYFUNCTION("""COMPUTED_VALUE"""),"Y")</f>
        <v>Y</v>
      </c>
      <c r="I139" s="1"/>
      <c r="J139" s="1"/>
      <c r="K139" s="2"/>
      <c r="L139" s="2"/>
      <c r="M139" s="2"/>
      <c r="N139" s="3"/>
      <c r="O139" s="2" t="str">
        <f>IFERROR(__xludf.DUMMYFUNCTION("""COMPUTED_VALUE"""),"Seed &amp; Early Stage Venture Capital Mexico based team with focus on innovative companies")</f>
        <v>Seed &amp; Early Stage Venture Capital Mexico based team with focus on innovative companies</v>
      </c>
      <c r="P139" s="1"/>
      <c r="Q139" s="1"/>
      <c r="R139" s="1"/>
      <c r="S139" s="1"/>
      <c r="T139" s="1"/>
      <c r="U139" s="1"/>
      <c r="V139" s="1"/>
      <c r="W139" s="1"/>
      <c r="X139" s="1"/>
      <c r="Y139" s="1"/>
      <c r="Z139" s="1"/>
    </row>
    <row r="140">
      <c r="A140" s="1" t="str">
        <f>IFERROR(__xludf.DUMMYFUNCTION("""COMPUTED_VALUE"""),"e.Bricks Ventures")</f>
        <v>e.Bricks Ventures</v>
      </c>
      <c r="B140" s="1" t="str">
        <f>IFERROR(__xludf.DUMMYFUNCTION("""COMPUTED_VALUE"""),"Venture Capital Fund")</f>
        <v>Venture Capital Fund</v>
      </c>
      <c r="C140" s="7" t="str">
        <f>IFERROR(__xludf.DUMMYFUNCTION("""COMPUTED_VALUE"""),"http://www.ebricksventures.com/")</f>
        <v>http://www.ebricksventures.com/</v>
      </c>
      <c r="D140" s="1" t="str">
        <f>IFERROR(__xludf.DUMMYFUNCTION("""COMPUTED_VALUE"""),"Brazil")</f>
        <v>Brazil</v>
      </c>
      <c r="E140" s="1"/>
      <c r="F140" s="1"/>
      <c r="G140" s="1"/>
      <c r="H140" s="1" t="str">
        <f>IFERROR(__xludf.DUMMYFUNCTION("""COMPUTED_VALUE"""),"Y")</f>
        <v>Y</v>
      </c>
      <c r="I140" s="1" t="str">
        <f>IFERROR(__xludf.DUMMYFUNCTION("""COMPUTED_VALUE"""),"Y")</f>
        <v>Y</v>
      </c>
      <c r="J140" s="1"/>
      <c r="K140" s="2"/>
      <c r="L140" s="2"/>
      <c r="M140" s="2"/>
      <c r="N140" s="3"/>
      <c r="O140" s="2" t="str">
        <f>IFERROR(__xludf.DUMMYFUNCTION("""COMPUTED_VALUE"""),"Venture capital firm focused on Seed, Series A and Series B investments")</f>
        <v>Venture capital firm focused on Seed, Series A and Series B investments</v>
      </c>
      <c r="P140" s="1"/>
      <c r="Q140" s="1"/>
      <c r="R140" s="1"/>
      <c r="S140" s="1"/>
      <c r="T140" s="1"/>
      <c r="U140" s="1"/>
      <c r="V140" s="1"/>
      <c r="W140" s="1"/>
      <c r="X140" s="1"/>
      <c r="Y140" s="1"/>
      <c r="Z140" s="1"/>
    </row>
    <row r="141">
      <c r="A141" s="1" t="str">
        <f>IFERROR(__xludf.DUMMYFUNCTION("""COMPUTED_VALUE"""),"Elevar Equity")</f>
        <v>Elevar Equity</v>
      </c>
      <c r="B141" s="1" t="str">
        <f>IFERROR(__xludf.DUMMYFUNCTION("""COMPUTED_VALUE"""),"Venture Capital Fund")</f>
        <v>Venture Capital Fund</v>
      </c>
      <c r="C141" s="7" t="str">
        <f>IFERROR(__xludf.DUMMYFUNCTION("""COMPUTED_VALUE"""),"www.elevarequity.com")</f>
        <v>www.elevarequity.com</v>
      </c>
      <c r="D141" s="1"/>
      <c r="E141" s="1"/>
      <c r="F141" s="1"/>
      <c r="G141" s="1" t="str">
        <f>IFERROR(__xludf.DUMMYFUNCTION("""COMPUTED_VALUE"""),"Y")</f>
        <v>Y</v>
      </c>
      <c r="H141" s="1" t="str">
        <f>IFERROR(__xludf.DUMMYFUNCTION("""COMPUTED_VALUE"""),"Y")</f>
        <v>Y</v>
      </c>
      <c r="I141" s="1"/>
      <c r="J141" s="1"/>
      <c r="K141" s="2"/>
      <c r="L141" s="2"/>
      <c r="M141" s="2"/>
      <c r="N141" s="3"/>
      <c r="O141" s="2" t="str">
        <f>IFERROR(__xludf.DUMMYFUNCTION("""COMPUTED_VALUE"""),"Elevar Equity invests early growth capital in businesses that demonstrate a direct correlation between high impact and returns.")</f>
        <v>Elevar Equity invests early growth capital in businesses that demonstrate a direct correlation between high impact and returns.</v>
      </c>
      <c r="P141" s="1"/>
      <c r="Q141" s="1"/>
      <c r="R141" s="1"/>
      <c r="S141" s="1"/>
      <c r="T141" s="1"/>
      <c r="U141" s="1"/>
      <c r="V141" s="1"/>
      <c r="W141" s="1"/>
      <c r="X141" s="1"/>
      <c r="Y141" s="1"/>
      <c r="Z141" s="1"/>
    </row>
    <row r="142">
      <c r="A142" s="1" t="str">
        <f>IFERROR(__xludf.DUMMYFUNCTION("""COMPUTED_VALUE"""),"Emex Mexico")</f>
        <v>Emex Mexico</v>
      </c>
      <c r="B142" s="1" t="str">
        <f>IFERROR(__xludf.DUMMYFUNCTION("""COMPUTED_VALUE"""),"Accelerator")</f>
        <v>Accelerator</v>
      </c>
      <c r="C142" s="7" t="str">
        <f>IFERROR(__xludf.DUMMYFUNCTION("""COMPUTED_VALUE"""),"https://www.emexaceleradora.com/")</f>
        <v>https://www.emexaceleradora.com/</v>
      </c>
      <c r="D142" s="1"/>
      <c r="E142" s="1"/>
      <c r="F142" s="1"/>
      <c r="G142" s="1"/>
      <c r="H142" s="1"/>
      <c r="I142" s="1"/>
      <c r="J142" s="1"/>
      <c r="K142" s="2"/>
      <c r="L142" s="2"/>
      <c r="M142" s="2"/>
      <c r="N142" s="3"/>
      <c r="O142" s="2" t="str">
        <f>IFERROR(__xludf.DUMMYFUNCTION("""COMPUTED_VALUE"""),"We are a business incubator and accelerator that seeks to help entrepreneurs and businessmen to develop businesses in strategic sectors with short-term growth projections, generating jobs for qualified personnel, in rapidly growing market segments.")</f>
        <v>We are a business incubator and accelerator that seeks to help entrepreneurs and businessmen to develop businesses in strategic sectors with short-term growth projections, generating jobs for qualified personnel, in rapidly growing market segments.</v>
      </c>
      <c r="P142" s="1"/>
      <c r="Q142" s="1"/>
      <c r="R142" s="1"/>
      <c r="S142" s="1"/>
      <c r="T142" s="1"/>
      <c r="U142" s="1"/>
      <c r="V142" s="1"/>
      <c r="W142" s="1"/>
      <c r="X142" s="1"/>
      <c r="Y142" s="1"/>
      <c r="Z142" s="1"/>
    </row>
    <row r="143">
      <c r="A143" s="1" t="str">
        <f>IFERROR(__xludf.DUMMYFUNCTION("""COMPUTED_VALUE"""),"EmprendeFCh")</f>
        <v>EmprendeFCh</v>
      </c>
      <c r="B143" s="1" t="str">
        <f>IFERROR(__xludf.DUMMYFUNCTION("""COMPUTED_VALUE"""),"Accelerator")</f>
        <v>Accelerator</v>
      </c>
      <c r="C143" s="7" t="str">
        <f>IFERROR(__xludf.DUMMYFUNCTION("""COMPUTED_VALUE"""),"https://fch.cl/")</f>
        <v>https://fch.cl/</v>
      </c>
      <c r="D143" s="1"/>
      <c r="E143" s="1"/>
      <c r="F143" s="1"/>
      <c r="G143" s="1"/>
      <c r="H143" s="1"/>
      <c r="I143" s="1"/>
      <c r="J143" s="1"/>
      <c r="K143" s="2"/>
      <c r="L143" s="2"/>
      <c r="M143" s="2"/>
      <c r="N143" s="3"/>
      <c r="O143" s="2" t="str">
        <f>IFERROR(__xludf.DUMMYFUNCTION("""COMPUTED_VALUE"""),"We are a private, non-profit corporation established in 1976, whose partners are the Chilean Government and BHP Billiton-Minera Escondida.")</f>
        <v>We are a private, non-profit corporation established in 1976, whose partners are the Chilean Government and BHP Billiton-Minera Escondida.</v>
      </c>
      <c r="P143" s="1"/>
      <c r="Q143" s="1"/>
      <c r="R143" s="1"/>
      <c r="S143" s="1"/>
      <c r="T143" s="1"/>
      <c r="U143" s="1"/>
      <c r="V143" s="1"/>
      <c r="W143" s="1"/>
      <c r="X143" s="1"/>
      <c r="Y143" s="1"/>
      <c r="Z143" s="1"/>
    </row>
    <row r="144">
      <c r="A144" s="1" t="str">
        <f>IFERROR(__xludf.DUMMYFUNCTION("""COMPUTED_VALUE"""),"Endeavor")</f>
        <v>Endeavor</v>
      </c>
      <c r="B144" s="1" t="str">
        <f>IFERROR(__xludf.DUMMYFUNCTION("""COMPUTED_VALUE"""),"Accelerator")</f>
        <v>Accelerator</v>
      </c>
      <c r="C144" s="7" t="str">
        <f>IFERROR(__xludf.DUMMYFUNCTION("""COMPUTED_VALUE"""),"https://endeavor.org")</f>
        <v>https://endeavor.org</v>
      </c>
      <c r="D144" s="1" t="str">
        <f>IFERROR(__xludf.DUMMYFUNCTION("""COMPUTED_VALUE"""),"United States of America")</f>
        <v>United States of America</v>
      </c>
      <c r="E144" s="1"/>
      <c r="F144" s="1"/>
      <c r="G144" s="1"/>
      <c r="H144" s="1"/>
      <c r="I144" s="1"/>
      <c r="J144" s="1"/>
      <c r="K144" s="2"/>
      <c r="L144" s="2"/>
      <c r="M144" s="2"/>
      <c r="N144" s="3"/>
      <c r="O144" s="2" t="str">
        <f>IFERROR(__xludf.DUMMYFUNCTION("""COMPUTED_VALUE"""),"Endeavor is a non-profit organization that supports high-impact entrepreneurs around the world.")</f>
        <v>Endeavor is a non-profit organization that supports high-impact entrepreneurs around the world.</v>
      </c>
      <c r="P144" s="1"/>
      <c r="Q144" s="1"/>
      <c r="R144" s="1"/>
      <c r="S144" s="1"/>
      <c r="T144" s="1"/>
      <c r="U144" s="1"/>
      <c r="V144" s="1"/>
      <c r="W144" s="1"/>
      <c r="X144" s="1"/>
      <c r="Y144" s="1"/>
      <c r="Z144" s="1"/>
    </row>
    <row r="145">
      <c r="A145" s="1" t="str">
        <f>IFERROR(__xludf.DUMMYFUNCTION("""COMPUTED_VALUE"""),"Endeavor Catalyst")</f>
        <v>Endeavor Catalyst</v>
      </c>
      <c r="B145" s="1" t="str">
        <f>IFERROR(__xludf.DUMMYFUNCTION("""COMPUTED_VALUE"""),"Venture Capital Fund")</f>
        <v>Venture Capital Fund</v>
      </c>
      <c r="C145" s="7" t="str">
        <f>IFERROR(__xludf.DUMMYFUNCTION("""COMPUTED_VALUE"""),"https://endeavor.org/approach/catalyst/")</f>
        <v>https://endeavor.org/approach/catalyst/</v>
      </c>
      <c r="D145" s="1" t="str">
        <f>IFERROR(__xludf.DUMMYFUNCTION("""COMPUTED_VALUE"""),"United States of America")</f>
        <v>United States of America</v>
      </c>
      <c r="E145" s="1"/>
      <c r="F145" s="1"/>
      <c r="G145" s="1"/>
      <c r="H145" s="1"/>
      <c r="I145" s="1"/>
      <c r="J145" s="1"/>
      <c r="K145" s="2"/>
      <c r="L145" s="2"/>
      <c r="M145" s="2"/>
      <c r="N145" s="3"/>
      <c r="O145" s="2" t="str">
        <f>IFERROR(__xludf.DUMMYFUNCTION("""COMPUTED_VALUE"""),"Endeavor is a mission-driven, global organization leading the high-impact entrepreneurship movement. Endeavor was founded on the belief that job creation,")</f>
        <v>Endeavor is a mission-driven, global organization leading the high-impact entrepreneurship movement. Endeavor was founded on the belief that job creation,</v>
      </c>
      <c r="P145" s="1"/>
      <c r="Q145" s="1"/>
      <c r="R145" s="1"/>
      <c r="S145" s="1"/>
      <c r="T145" s="1"/>
      <c r="U145" s="1"/>
      <c r="V145" s="1"/>
      <c r="W145" s="1"/>
      <c r="X145" s="1"/>
      <c r="Y145" s="1"/>
      <c r="Z145" s="1"/>
    </row>
    <row r="146">
      <c r="A146" s="1" t="str">
        <f>IFERROR(__xludf.DUMMYFUNCTION("""COMPUTED_VALUE"""),"Endeavor Mexico")</f>
        <v>Endeavor Mexico</v>
      </c>
      <c r="B146" s="1" t="str">
        <f>IFERROR(__xludf.DUMMYFUNCTION("""COMPUTED_VALUE"""),"Accelerator")</f>
        <v>Accelerator</v>
      </c>
      <c r="C146" s="7" t="str">
        <f>IFERROR(__xludf.DUMMYFUNCTION("""COMPUTED_VALUE"""),"https://www.endeavor.org.mx/")</f>
        <v>https://www.endeavor.org.mx/</v>
      </c>
      <c r="D146" s="1" t="str">
        <f>IFERROR(__xludf.DUMMYFUNCTION("""COMPUTED_VALUE"""),"Mexico")</f>
        <v>Mexico</v>
      </c>
      <c r="E146" s="1"/>
      <c r="F146" s="1"/>
      <c r="G146" s="1"/>
      <c r="H146" s="1"/>
      <c r="I146" s="1"/>
      <c r="J146" s="1"/>
      <c r="K146" s="2"/>
      <c r="L146" s="2"/>
      <c r="M146" s="2"/>
      <c r="N146" s="3"/>
      <c r="O146" s="2" t="str">
        <f>IFERROR(__xludf.DUMMYFUNCTION("""COMPUTED_VALUE"""),"Endeavor is a non-profit organization that supports high-impact entrepreneurs around the world.")</f>
        <v>Endeavor is a non-profit organization that supports high-impact entrepreneurs around the world.</v>
      </c>
      <c r="P146" s="1"/>
      <c r="Q146" s="1"/>
      <c r="R146" s="1"/>
      <c r="S146" s="1"/>
      <c r="T146" s="1"/>
      <c r="U146" s="1"/>
      <c r="V146" s="1"/>
      <c r="W146" s="1"/>
      <c r="X146" s="1"/>
      <c r="Y146" s="1"/>
      <c r="Z146" s="1"/>
    </row>
    <row r="147">
      <c r="A147" s="1" t="str">
        <f>IFERROR(__xludf.DUMMYFUNCTION("""COMPUTED_VALUE"""),"Enermetrica SC")</f>
        <v>Enermetrica SC</v>
      </c>
      <c r="B147" s="1" t="str">
        <f>IFERROR(__xludf.DUMMYFUNCTION("""COMPUTED_VALUE"""),"Angel Investment Network")</f>
        <v>Angel Investment Network</v>
      </c>
      <c r="C147" s="7" t="str">
        <f>IFERROR(__xludf.DUMMYFUNCTION("""COMPUTED_VALUE"""),"https://enermetrica.com/")</f>
        <v>https://enermetrica.com/</v>
      </c>
      <c r="D147" s="1" t="str">
        <f>IFERROR(__xludf.DUMMYFUNCTION("""COMPUTED_VALUE"""),"Mexico")</f>
        <v>Mexico</v>
      </c>
      <c r="E147" s="1"/>
      <c r="F147" s="1"/>
      <c r="G147" s="1"/>
      <c r="H147" s="1"/>
      <c r="I147" s="1"/>
      <c r="J147" s="1"/>
      <c r="K147" s="2"/>
      <c r="L147" s="2"/>
      <c r="M147" s="2"/>
      <c r="N147" s="3"/>
      <c r="O147" s="2"/>
      <c r="P147" s="1"/>
      <c r="Q147" s="1"/>
      <c r="R147" s="1"/>
      <c r="S147" s="1"/>
      <c r="T147" s="1"/>
      <c r="U147" s="1"/>
      <c r="V147" s="1"/>
      <c r="W147" s="1"/>
      <c r="X147" s="1"/>
      <c r="Y147" s="1"/>
      <c r="Z147" s="1"/>
    </row>
    <row r="148">
      <c r="A148" s="1" t="str">
        <f>IFERROR(__xludf.DUMMYFUNCTION("""COMPUTED_VALUE"""),"Engie Factory")</f>
        <v>Engie Factory</v>
      </c>
      <c r="B148" s="1" t="str">
        <f>IFERROR(__xludf.DUMMYFUNCTION("""COMPUTED_VALUE"""),"Corporate Venture Fund")</f>
        <v>Corporate Venture Fund</v>
      </c>
      <c r="C148" s="7" t="str">
        <f>IFERROR(__xludf.DUMMYFUNCTION("""COMPUTED_VALUE"""),"http://engiefactory.com/")</f>
        <v>http://engiefactory.com/</v>
      </c>
      <c r="D148" s="1"/>
      <c r="E148" s="1"/>
      <c r="F148" s="1"/>
      <c r="G148" s="1"/>
      <c r="H148" s="1" t="str">
        <f>IFERROR(__xludf.DUMMYFUNCTION("""COMPUTED_VALUE"""),"Y")</f>
        <v>Y</v>
      </c>
      <c r="I148" s="1" t="str">
        <f>IFERROR(__xludf.DUMMYFUNCTION("""COMPUTED_VALUE"""),"Y")</f>
        <v>Y</v>
      </c>
      <c r="J148" s="1"/>
      <c r="K148" s="2"/>
      <c r="L148" s="2"/>
      <c r="M148" s="2"/>
      <c r="N148" s="3"/>
      <c r="O148" s="2" t="str">
        <f>IFERROR(__xludf.DUMMYFUNCTION("""COMPUTED_VALUE"""),"Engie Factory is a start-up accelerator of the Engie Group that supports startups related to sustainability.")</f>
        <v>Engie Factory is a start-up accelerator of the Engie Group that supports startups related to sustainability.</v>
      </c>
      <c r="P148" s="1"/>
      <c r="Q148" s="1"/>
      <c r="R148" s="1"/>
      <c r="S148" s="1"/>
      <c r="T148" s="1"/>
      <c r="U148" s="1"/>
      <c r="V148" s="1"/>
      <c r="W148" s="1"/>
      <c r="X148" s="1"/>
      <c r="Y148" s="1"/>
      <c r="Z148" s="1"/>
    </row>
    <row r="149">
      <c r="A149" s="1" t="str">
        <f>IFERROR(__xludf.DUMMYFUNCTION("""COMPUTED_VALUE"""),"Enture Capital")</f>
        <v>Enture Capital</v>
      </c>
      <c r="B149" s="1" t="str">
        <f>IFERROR(__xludf.DUMMYFUNCTION("""COMPUTED_VALUE"""),"Venture Capital Fund")</f>
        <v>Venture Capital Fund</v>
      </c>
      <c r="C149" s="7" t="str">
        <f>IFERROR(__xludf.DUMMYFUNCTION("""COMPUTED_VALUE"""),"https://www.enture.vc/fondo-de-capital/")</f>
        <v>https://www.enture.vc/fondo-de-capital/</v>
      </c>
      <c r="D149" s="1" t="str">
        <f>IFERROR(__xludf.DUMMYFUNCTION("""COMPUTED_VALUE"""),"Mexico")</f>
        <v>Mexico</v>
      </c>
      <c r="E149" s="1"/>
      <c r="F149" s="1"/>
      <c r="G149" s="1"/>
      <c r="H149" s="1"/>
      <c r="I149" s="1"/>
      <c r="J149" s="1"/>
      <c r="K149" s="2"/>
      <c r="L149" s="2"/>
      <c r="M149" s="2" t="str">
        <f>IFERROR(__xludf.DUMMYFUNCTION("""COMPUTED_VALUE"""),"Agriculture")</f>
        <v>Agriculture</v>
      </c>
      <c r="N149" s="3"/>
      <c r="O149" s="2" t="str">
        <f>IFERROR(__xludf.DUMMYFUNCTION("""COMPUTED_VALUE"""),"At Enture Capital we structure and manage Private Equity Funds, investment vehicles and financing strategies.
We have experience in Crowfunding, Angel Investment, Institutional Investment and Private Investments; comprising Seed Capital (Seed), Entrepr"&amp;"eneur Capital (Venture), Growth Capital, Expansion and Consolidation (Equity).")</f>
        <v>At Enture Capital we structure and manage Private Equity Funds, investment vehicles and financing strategies.
We have experience in Crowfunding, Angel Investment, Institutional Investment and Private Investments; comprising Seed Capital (Seed), Entrepreneur Capital (Venture), Growth Capital, Expansion and Consolidation (Equity).</v>
      </c>
      <c r="P149" s="1"/>
      <c r="Q149" s="1"/>
      <c r="R149" s="1"/>
      <c r="S149" s="1"/>
      <c r="T149" s="1"/>
      <c r="U149" s="1"/>
      <c r="V149" s="1"/>
      <c r="W149" s="1"/>
      <c r="X149" s="1"/>
      <c r="Y149" s="1"/>
      <c r="Z149" s="1"/>
    </row>
    <row r="150">
      <c r="A150" s="1" t="str">
        <f>IFERROR(__xludf.DUMMYFUNCTION("""COMPUTED_VALUE"""),"Envelp")</f>
        <v>Envelp</v>
      </c>
      <c r="B150" s="1" t="str">
        <f>IFERROR(__xludf.DUMMYFUNCTION("""COMPUTED_VALUE"""),"Venture Capital Fund")</f>
        <v>Venture Capital Fund</v>
      </c>
      <c r="C150" s="7" t="str">
        <f>IFERROR(__xludf.DUMMYFUNCTION("""COMPUTED_VALUE"""),"http://envelp.com/")</f>
        <v>http://envelp.com/</v>
      </c>
      <c r="D150" s="1"/>
      <c r="E150" s="1"/>
      <c r="F150" s="1"/>
      <c r="G150" s="1"/>
      <c r="H150" s="1"/>
      <c r="I150" s="1"/>
      <c r="J150" s="1"/>
      <c r="K150" s="2"/>
      <c r="L150" s="2"/>
      <c r="M150" s="2"/>
      <c r="N150" s="3"/>
      <c r="O150" s="2"/>
      <c r="P150" s="1"/>
      <c r="Q150" s="1"/>
      <c r="R150" s="1"/>
      <c r="S150" s="1"/>
      <c r="T150" s="1"/>
      <c r="U150" s="1"/>
      <c r="V150" s="1"/>
      <c r="W150" s="1"/>
      <c r="X150" s="1"/>
      <c r="Y150" s="1"/>
      <c r="Z150" s="1"/>
    </row>
    <row r="151">
      <c r="A151" s="1" t="str">
        <f>IFERROR(__xludf.DUMMYFUNCTION("""COMPUTED_VALUE"""),"F-Prime Capital")</f>
        <v>F-Prime Capital</v>
      </c>
      <c r="B151" s="1" t="str">
        <f>IFERROR(__xludf.DUMMYFUNCTION("""COMPUTED_VALUE"""),"Venture Capital Fund")</f>
        <v>Venture Capital Fund</v>
      </c>
      <c r="C151" s="7" t="str">
        <f>IFERROR(__xludf.DUMMYFUNCTION("""COMPUTED_VALUE"""),"https://fprimecapital.com/")</f>
        <v>https://fprimecapital.com/</v>
      </c>
      <c r="D151" s="1" t="str">
        <f>IFERROR(__xludf.DUMMYFUNCTION("""COMPUTED_VALUE"""),"United States of America")</f>
        <v>United States of America</v>
      </c>
      <c r="E151" s="1"/>
      <c r="F151" s="1"/>
      <c r="G151" s="1"/>
      <c r="H151" s="1"/>
      <c r="I151" s="1"/>
      <c r="J151" s="1"/>
      <c r="K151" s="2"/>
      <c r="L151" s="2"/>
      <c r="M151" s="2"/>
      <c r="N151" s="3"/>
      <c r="O151" s="2" t="str">
        <f>IFERROR(__xludf.DUMMYFUNCTION("""COMPUTED_VALUE"""),"F-Prime Capital is a global venture capital firm investing in healthcare and technology.")</f>
        <v>F-Prime Capital is a global venture capital firm investing in healthcare and technology.</v>
      </c>
      <c r="P151" s="1"/>
      <c r="Q151" s="1"/>
      <c r="R151" s="1"/>
      <c r="S151" s="1"/>
      <c r="T151" s="1"/>
      <c r="U151" s="1"/>
      <c r="V151" s="1"/>
      <c r="W151" s="1"/>
      <c r="X151" s="1"/>
      <c r="Y151" s="1"/>
      <c r="Z151" s="1"/>
    </row>
    <row r="152">
      <c r="A152" s="1" t="str">
        <f>IFERROR(__xludf.DUMMYFUNCTION("""COMPUTED_VALUE"""),"FabriQ Aceleradora")</f>
        <v>FabriQ Aceleradora</v>
      </c>
      <c r="B152" s="1" t="str">
        <f>IFERROR(__xludf.DUMMYFUNCTION("""COMPUTED_VALUE"""),"Accelerator")</f>
        <v>Accelerator</v>
      </c>
      <c r="C152" s="7" t="str">
        <f>IFERROR(__xludf.DUMMYFUNCTION("""COMPUTED_VALUE"""),"www.fabriq.com.br")</f>
        <v>www.fabriq.com.br</v>
      </c>
      <c r="D152" s="1"/>
      <c r="E152" s="1"/>
      <c r="F152" s="1"/>
      <c r="G152" s="1"/>
      <c r="H152" s="1"/>
      <c r="I152" s="1"/>
      <c r="J152" s="1"/>
      <c r="K152" s="2"/>
      <c r="L152" s="2"/>
      <c r="M152" s="2"/>
      <c r="N152" s="3"/>
      <c r="O152" s="2"/>
      <c r="P152" s="1"/>
      <c r="Q152" s="1"/>
      <c r="R152" s="1"/>
      <c r="S152" s="1"/>
      <c r="T152" s="1"/>
      <c r="U152" s="1"/>
      <c r="V152" s="1"/>
      <c r="W152" s="1"/>
      <c r="X152" s="1"/>
      <c r="Y152" s="1"/>
      <c r="Z152" s="1"/>
    </row>
    <row r="153">
      <c r="A153" s="1" t="str">
        <f>IFERROR(__xludf.DUMMYFUNCTION("""COMPUTED_VALUE"""),"Firstrock")</f>
        <v>Firstrock</v>
      </c>
      <c r="B153" s="1" t="str">
        <f>IFERROR(__xludf.DUMMYFUNCTION("""COMPUTED_VALUE"""),"Venture Capital Fund")</f>
        <v>Venture Capital Fund</v>
      </c>
      <c r="C153" s="7" t="str">
        <f>IFERROR(__xludf.DUMMYFUNCTION("""COMPUTED_VALUE"""),"http://firstrock.vc/")</f>
        <v>http://firstrock.vc/</v>
      </c>
      <c r="D153" s="1" t="str">
        <f>IFERROR(__xludf.DUMMYFUNCTION("""COMPUTED_VALUE"""),"United States of America")</f>
        <v>United States of America</v>
      </c>
      <c r="E153" s="1" t="str">
        <f>IFERROR(__xludf.DUMMYFUNCTION("""COMPUTED_VALUE"""),"Latam")</f>
        <v>Latam</v>
      </c>
      <c r="F153" s="1"/>
      <c r="G153" s="1"/>
      <c r="H153" s="1"/>
      <c r="I153" s="1"/>
      <c r="J153" s="1"/>
      <c r="K153" s="2" t="str">
        <f>IFERROR(__xludf.DUMMYFUNCTION("""COMPUTED_VALUE"""),"Latam")</f>
        <v>Latam</v>
      </c>
      <c r="L153" s="2"/>
      <c r="M153" s="2"/>
      <c r="N153" s="3"/>
      <c r="O153" s="2" t="str">
        <f>IFERROR(__xludf.DUMMYFUNCTION("""COMPUTED_VALUE"""),"VC firm that combines its investments with in-house services to help entrepreneurs reach their goals faster.")</f>
        <v>VC firm that combines its investments with in-house services to help entrepreneurs reach their goals faster.</v>
      </c>
      <c r="P153" s="1"/>
      <c r="Q153" s="1"/>
      <c r="R153" s="1"/>
      <c r="S153" s="1"/>
      <c r="T153" s="1"/>
      <c r="U153" s="1"/>
      <c r="V153" s="1"/>
      <c r="W153" s="1"/>
      <c r="X153" s="1"/>
      <c r="Y153" s="1"/>
      <c r="Z153" s="1"/>
    </row>
    <row r="154">
      <c r="A154" s="1" t="str">
        <f>IFERROR(__xludf.DUMMYFUNCTION("""COMPUTED_VALUE"""),"FJLabs")</f>
        <v>FJLabs</v>
      </c>
      <c r="B154" s="1" t="str">
        <f>IFERROR(__xludf.DUMMYFUNCTION("""COMPUTED_VALUE"""),"Venture Capital Fund")</f>
        <v>Venture Capital Fund</v>
      </c>
      <c r="C154" s="7" t="str">
        <f>IFERROR(__xludf.DUMMYFUNCTION("""COMPUTED_VALUE"""),"https://fjlabs.com/")</f>
        <v>https://fjlabs.com/</v>
      </c>
      <c r="D154" s="1" t="str">
        <f>IFERROR(__xludf.DUMMYFUNCTION("""COMPUTED_VALUE"""),"United States of America")</f>
        <v>United States of America</v>
      </c>
      <c r="E154" s="1"/>
      <c r="F154" s="1"/>
      <c r="G154" s="1"/>
      <c r="H154" s="1"/>
      <c r="I154" s="1"/>
      <c r="J154" s="1"/>
      <c r="K154" s="2"/>
      <c r="L154" s="2"/>
      <c r="M154" s="2"/>
      <c r="N154" s="3"/>
      <c r="O154" s="2" t="str">
        <f>IFERROR(__xludf.DUMMYFUNCTION("""COMPUTED_VALUE"""),"FJ Labs is a stage-agnostic investment firm that focuses on marketplaces and consumer facing startups.")</f>
        <v>FJ Labs is a stage-agnostic investment firm that focuses on marketplaces and consumer facing startups.</v>
      </c>
      <c r="P154" s="1"/>
      <c r="Q154" s="1"/>
      <c r="R154" s="1"/>
      <c r="S154" s="1"/>
      <c r="T154" s="1"/>
      <c r="U154" s="1"/>
      <c r="V154" s="1"/>
      <c r="W154" s="1"/>
      <c r="X154" s="1"/>
      <c r="Y154" s="1"/>
      <c r="Z154" s="1"/>
    </row>
    <row r="155">
      <c r="A155" s="1" t="str">
        <f>IFERROR(__xludf.DUMMYFUNCTION("""COMPUTED_VALUE"""),"Flourish Ventures")</f>
        <v>Flourish Ventures</v>
      </c>
      <c r="B155" s="1" t="str">
        <f>IFERROR(__xludf.DUMMYFUNCTION("""COMPUTED_VALUE"""),"Venture Capital Fund")</f>
        <v>Venture Capital Fund</v>
      </c>
      <c r="C155" s="7" t="str">
        <f>IFERROR(__xludf.DUMMYFUNCTION("""COMPUTED_VALUE"""),"https://flourishventures.com/")</f>
        <v>https://flourishventures.com/</v>
      </c>
      <c r="D155" s="1"/>
      <c r="E155" s="1" t="str">
        <f>IFERROR(__xludf.DUMMYFUNCTION("""COMPUTED_VALUE"""),"Latam")</f>
        <v>Latam</v>
      </c>
      <c r="F155" s="1"/>
      <c r="G155" s="1"/>
      <c r="H155" s="1"/>
      <c r="I155" s="1"/>
      <c r="J155" s="1"/>
      <c r="K155" s="2" t="str">
        <f>IFERROR(__xludf.DUMMYFUNCTION("""COMPUTED_VALUE"""),"Latam")</f>
        <v>Latam</v>
      </c>
      <c r="L155" s="2"/>
      <c r="M155" s="2"/>
      <c r="N155" s="3"/>
      <c r="O155" s="2" t="str">
        <f>IFERROR(__xludf.DUMMYFUNCTION("""COMPUTED_VALUE"""),"Flourish is a global venture capital firm focused on early-stage Fintech investments that enhance financial health.")</f>
        <v>Flourish is a global venture capital firm focused on early-stage Fintech investments that enhance financial health.</v>
      </c>
      <c r="P155" s="1"/>
      <c r="Q155" s="1"/>
      <c r="R155" s="1"/>
      <c r="S155" s="1"/>
      <c r="T155" s="1"/>
      <c r="U155" s="1"/>
      <c r="V155" s="1"/>
      <c r="W155" s="1"/>
      <c r="X155" s="1"/>
      <c r="Y155" s="1"/>
      <c r="Z155" s="1"/>
    </row>
    <row r="156">
      <c r="A156" s="1" t="str">
        <f>IFERROR(__xludf.DUMMYFUNCTION("""COMPUTED_VALUE"""),"Fly Capital")</f>
        <v>Fly Capital</v>
      </c>
      <c r="B156" s="1" t="str">
        <f>IFERROR(__xludf.DUMMYFUNCTION("""COMPUTED_VALUE"""),"Venture Capital Fund")</f>
        <v>Venture Capital Fund</v>
      </c>
      <c r="C156" s="7" t="str">
        <f>IFERROR(__xludf.DUMMYFUNCTION("""COMPUTED_VALUE"""),"https://flycapital.mx/inicio/")</f>
        <v>https://flycapital.mx/inicio/</v>
      </c>
      <c r="D156" s="1" t="str">
        <f>IFERROR(__xludf.DUMMYFUNCTION("""COMPUTED_VALUE"""),"Mexico")</f>
        <v>Mexico</v>
      </c>
      <c r="E156" s="1"/>
      <c r="F156" s="1"/>
      <c r="G156" s="1"/>
      <c r="H156" s="1"/>
      <c r="I156" s="1"/>
      <c r="J156" s="1"/>
      <c r="K156" s="2"/>
      <c r="L156" s="2"/>
      <c r="M156" s="2"/>
      <c r="N156" s="3"/>
      <c r="O156" s="2" t="str">
        <f>IFERROR(__xludf.DUMMYFUNCTION("""COMPUTED_VALUE"""),"Fly Capital is a venture capital firm that supports the growth of companies with high potential.")</f>
        <v>Fly Capital is a venture capital firm that supports the growth of companies with high potential.</v>
      </c>
      <c r="P156" s="1"/>
      <c r="Q156" s="1"/>
      <c r="R156" s="1"/>
      <c r="S156" s="1"/>
      <c r="T156" s="1"/>
      <c r="U156" s="1"/>
      <c r="V156" s="1"/>
      <c r="W156" s="1"/>
      <c r="X156" s="1"/>
      <c r="Y156" s="1"/>
      <c r="Z156" s="1"/>
    </row>
    <row r="157">
      <c r="A157" s="1" t="str">
        <f>IFERROR(__xludf.DUMMYFUNCTION("""COMPUTED_VALUE"""),"Fondo Alerce")</f>
        <v>Fondo Alerce</v>
      </c>
      <c r="B157" s="1" t="str">
        <f>IFERROR(__xludf.DUMMYFUNCTION("""COMPUTED_VALUE"""),"Venture Capital Fund")</f>
        <v>Venture Capital Fund</v>
      </c>
      <c r="C157" s="7" t="str">
        <f>IFERROR(__xludf.DUMMYFUNCTION("""COMPUTED_VALUE"""),"https://endinv.com/")</f>
        <v>https://endinv.com/</v>
      </c>
      <c r="D157" s="1" t="str">
        <f>IFERROR(__xludf.DUMMYFUNCTION("""COMPUTED_VALUE"""),"Chile")</f>
        <v>Chile</v>
      </c>
      <c r="E157" s="1"/>
      <c r="F157" s="1"/>
      <c r="G157" s="1"/>
      <c r="H157" s="1"/>
      <c r="I157" s="1"/>
      <c r="J157" s="1"/>
      <c r="K157" s="2"/>
      <c r="L157" s="2"/>
      <c r="M157" s="2"/>
      <c r="N157" s="3"/>
      <c r="O157" s="2" t="str">
        <f>IFERROR(__xludf.DUMMYFUNCTION("""COMPUTED_VALUE"""),"Founded in 2017, Fondo Alerce VC is a Chilean venture capital fund that invests in globally-born entrepreneurs that develop applied technologies to solve complex industry problems. We investment from seed (USD300K) to early-stage rounds and provide active"&amp;" support to our ventures for their team,")</f>
        <v>Founded in 2017, Fondo Alerce VC is a Chilean venture capital fund that invests in globally-born entrepreneurs that develop applied technologies to solve complex industry problems. We investment from seed (USD300K) to early-stage rounds and provide active support to our ventures for their team,</v>
      </c>
      <c r="P157" s="1"/>
      <c r="Q157" s="1"/>
      <c r="R157" s="1"/>
      <c r="S157" s="1"/>
      <c r="T157" s="1"/>
      <c r="U157" s="1"/>
      <c r="V157" s="1"/>
      <c r="W157" s="1"/>
      <c r="X157" s="1"/>
      <c r="Y157" s="1"/>
      <c r="Z157" s="1"/>
    </row>
    <row r="158">
      <c r="A158" s="1" t="str">
        <f>IFERROR(__xludf.DUMMYFUNCTION("""COMPUTED_VALUE"""),"Fondo de Fondos")</f>
        <v>Fondo de Fondos</v>
      </c>
      <c r="B158" s="1" t="str">
        <f>IFERROR(__xludf.DUMMYFUNCTION("""COMPUTED_VALUE"""),"Fund of Funds")</f>
        <v>Fund of Funds</v>
      </c>
      <c r="C158" s="7" t="str">
        <f>IFERROR(__xludf.DUMMYFUNCTION("""COMPUTED_VALUE"""),"http://www.fondodefondos.com.mx/")</f>
        <v>http://www.fondodefondos.com.mx/</v>
      </c>
      <c r="D158" s="1" t="str">
        <f>IFERROR(__xludf.DUMMYFUNCTION("""COMPUTED_VALUE"""),"Mexico")</f>
        <v>Mexico</v>
      </c>
      <c r="E158" s="1"/>
      <c r="F158" s="1"/>
      <c r="G158" s="1"/>
      <c r="H158" s="1"/>
      <c r="I158" s="1"/>
      <c r="J158" s="1"/>
      <c r="K158" s="2"/>
      <c r="L158" s="2"/>
      <c r="M158" s="2"/>
      <c r="N158" s="3"/>
      <c r="O158" s="2" t="str">
        <f>IFERROR(__xludf.DUMMYFUNCTION("""COMPUTED_VALUE"""),"The main objective of Fondo de Fondos is to generate attractive risk-adjusted return, and to promote the private equity industry in Mexico.")</f>
        <v>The main objective of Fondo de Fondos is to generate attractive risk-adjusted return, and to promote the private equity industry in Mexico.</v>
      </c>
      <c r="P158" s="1"/>
      <c r="Q158" s="1"/>
      <c r="R158" s="1"/>
      <c r="S158" s="1"/>
      <c r="T158" s="1"/>
      <c r="U158" s="1"/>
      <c r="V158" s="1"/>
      <c r="W158" s="1"/>
      <c r="X158" s="1"/>
      <c r="Y158" s="1"/>
      <c r="Z158" s="1"/>
    </row>
    <row r="159">
      <c r="A159" s="1" t="str">
        <f>IFERROR(__xludf.DUMMYFUNCTION("""COMPUTED_VALUE"""),"Founder Institute")</f>
        <v>Founder Institute</v>
      </c>
      <c r="B159" s="1" t="str">
        <f>IFERROR(__xludf.DUMMYFUNCTION("""COMPUTED_VALUE"""),"Professional Training &amp; Coaching")</f>
        <v>Professional Training &amp; Coaching</v>
      </c>
      <c r="C159" s="7" t="str">
        <f>IFERROR(__xludf.DUMMYFUNCTION("""COMPUTED_VALUE"""),"https://fi.co/")</f>
        <v>https://fi.co/</v>
      </c>
      <c r="D159" s="1" t="str">
        <f>IFERROR(__xludf.DUMMYFUNCTION("""COMPUTED_VALUE"""),"United States of America")</f>
        <v>United States of America</v>
      </c>
      <c r="E159" s="1"/>
      <c r="F159" s="1"/>
      <c r="G159" s="1"/>
      <c r="H159" s="1"/>
      <c r="I159" s="1"/>
      <c r="J159" s="1"/>
      <c r="K159" s="2"/>
      <c r="L159" s="2"/>
      <c r="M159" s="2"/>
      <c r="N159" s="3"/>
      <c r="O159" s="2" t="str">
        <f>IFERROR(__xludf.DUMMYFUNCTION("""COMPUTED_VALUE"""),"Founder Institute is a pre-seed startup accelerator, with chapters in 180+ cities and a portfolio with $20B+ in value.")</f>
        <v>Founder Institute is a pre-seed startup accelerator, with chapters in 180+ cities and a portfolio with $20B+ in value.</v>
      </c>
      <c r="P159" s="1"/>
      <c r="Q159" s="1"/>
      <c r="R159" s="1"/>
      <c r="S159" s="1"/>
      <c r="T159" s="1"/>
      <c r="U159" s="1"/>
      <c r="V159" s="1"/>
      <c r="W159" s="1"/>
      <c r="X159" s="1"/>
      <c r="Y159" s="1"/>
      <c r="Z159" s="1"/>
    </row>
    <row r="160">
      <c r="A160" s="1" t="str">
        <f>IFERROR(__xludf.DUMMYFUNCTION("""COMPUTED_VALUE"""),"Fourth Green Capital")</f>
        <v>Fourth Green Capital</v>
      </c>
      <c r="B160" s="1" t="str">
        <f>IFERROR(__xludf.DUMMYFUNCTION("""COMPUTED_VALUE"""),"Investment Firm")</f>
        <v>Investment Firm</v>
      </c>
      <c r="C160" s="7" t="str">
        <f>IFERROR(__xludf.DUMMYFUNCTION("""COMPUTED_VALUE"""),"http://www.fourthgreen.com/")</f>
        <v>http://www.fourthgreen.com/</v>
      </c>
      <c r="D160" s="1" t="str">
        <f>IFERROR(__xludf.DUMMYFUNCTION("""COMPUTED_VALUE"""),"United States of America")</f>
        <v>United States of America</v>
      </c>
      <c r="E160" s="1"/>
      <c r="F160" s="1"/>
      <c r="G160" s="1"/>
      <c r="H160" s="1"/>
      <c r="I160" s="1"/>
      <c r="J160" s="1"/>
      <c r="K160" s="2"/>
      <c r="L160" s="2"/>
      <c r="M160" s="2"/>
      <c r="N160" s="3"/>
      <c r="O160" s="2" t="str">
        <f>IFERROR(__xludf.DUMMYFUNCTION("""COMPUTED_VALUE"""),"FourthGreen Capital originates &amp; funds investments in a number of different asset classes, ranging from real estate to small business loans.")</f>
        <v>FourthGreen Capital originates &amp; funds investments in a number of different asset classes, ranging from real estate to small business loans.</v>
      </c>
      <c r="P160" s="1"/>
      <c r="Q160" s="1"/>
      <c r="R160" s="1"/>
      <c r="S160" s="1"/>
      <c r="T160" s="1"/>
      <c r="U160" s="1"/>
      <c r="V160" s="1"/>
      <c r="W160" s="1"/>
      <c r="X160" s="1"/>
      <c r="Y160" s="1"/>
      <c r="Z160" s="1"/>
    </row>
    <row r="161">
      <c r="A161" s="1" t="str">
        <f>IFERROR(__xludf.DUMMYFUNCTION("""COMPUTED_VALUE"""),"FW Ventures")</f>
        <v>FW Ventures</v>
      </c>
      <c r="B161" s="1" t="str">
        <f>IFERROR(__xludf.DUMMYFUNCTION("""COMPUTED_VALUE"""),"Venture Capital Fund")</f>
        <v>Venture Capital Fund</v>
      </c>
      <c r="C161" s="7" t="str">
        <f>IFERROR(__xludf.DUMMYFUNCTION("""COMPUTED_VALUE"""),"http://fwv.mx/")</f>
        <v>http://fwv.mx/</v>
      </c>
      <c r="D161" s="1"/>
      <c r="E161" s="1"/>
      <c r="F161" s="1"/>
      <c r="G161" s="1"/>
      <c r="H161" s="1"/>
      <c r="I161" s="1"/>
      <c r="J161" s="1"/>
      <c r="K161" s="2"/>
      <c r="L161" s="2"/>
      <c r="M161" s="2"/>
      <c r="N161" s="3"/>
      <c r="O161" s="2" t="str">
        <f>IFERROR(__xludf.DUMMYFUNCTION("""COMPUTED_VALUE"""),"FW Ventures provides entrepreneurs in financial projects with financial support and coaching.")</f>
        <v>FW Ventures provides entrepreneurs in financial projects with financial support and coaching.</v>
      </c>
      <c r="P161" s="1"/>
      <c r="Q161" s="1"/>
      <c r="R161" s="1"/>
      <c r="S161" s="1"/>
      <c r="T161" s="1"/>
      <c r="U161" s="1"/>
      <c r="V161" s="1"/>
      <c r="W161" s="1"/>
      <c r="X161" s="1"/>
      <c r="Y161" s="1"/>
      <c r="Z161" s="1"/>
    </row>
    <row r="162">
      <c r="A162" s="1" t="str">
        <f>IFERROR(__xludf.DUMMYFUNCTION("""COMPUTED_VALUE"""),"G2 Momentum Capital")</f>
        <v>G2 Momentum Capital</v>
      </c>
      <c r="B162" s="1" t="str">
        <f>IFERROR(__xludf.DUMMYFUNCTION("""COMPUTED_VALUE"""),"Venture Capital Fund")</f>
        <v>Venture Capital Fund</v>
      </c>
      <c r="C162" s="7" t="str">
        <f>IFERROR(__xludf.DUMMYFUNCTION("""COMPUTED_VALUE"""),"http://g2momentum.capital/")</f>
        <v>http://g2momentum.capital/</v>
      </c>
      <c r="D162" s="1" t="str">
        <f>IFERROR(__xludf.DUMMYFUNCTION("""COMPUTED_VALUE"""),"Mexico")</f>
        <v>Mexico</v>
      </c>
      <c r="E162" s="1"/>
      <c r="F162" s="1" t="str">
        <f>IFERROR(__xludf.DUMMYFUNCTION("""COMPUTED_VALUE"""),"Y")</f>
        <v>Y</v>
      </c>
      <c r="G162" s="1" t="str">
        <f>IFERROR(__xludf.DUMMYFUNCTION("""COMPUTED_VALUE"""),"Y")</f>
        <v>Y</v>
      </c>
      <c r="H162" s="1"/>
      <c r="I162" s="1"/>
      <c r="J162" s="1"/>
      <c r="K162" s="2"/>
      <c r="L162" s="2" t="str">
        <f>IFERROR(__xludf.DUMMYFUNCTION("""COMPUTED_VALUE"""),"17.5k - 50k USD")</f>
        <v>17.5k - 50k USD</v>
      </c>
      <c r="M162" s="2"/>
      <c r="N162" s="3"/>
      <c r="O162" s="2" t="str">
        <f>IFERROR(__xludf.DUMMYFUNCTION("""COMPUTED_VALUE"""),"G2 Momentum Capital is a private investment fund that focuses on early-stage and growing startups.")</f>
        <v>G2 Momentum Capital is a private investment fund that focuses on early-stage and growing startups.</v>
      </c>
      <c r="P162" s="1"/>
      <c r="Q162" s="1"/>
      <c r="R162" s="1"/>
      <c r="S162" s="1"/>
      <c r="T162" s="1"/>
      <c r="U162" s="1"/>
      <c r="V162" s="1"/>
      <c r="W162" s="1"/>
      <c r="X162" s="1"/>
      <c r="Y162" s="1"/>
      <c r="Z162" s="1"/>
    </row>
    <row r="163">
      <c r="A163" s="1" t="str">
        <f>IFERROR(__xludf.DUMMYFUNCTION("""COMPUTED_VALUE"""),"Ganesha Lab")</f>
        <v>Ganesha Lab</v>
      </c>
      <c r="B163" s="1" t="str">
        <f>IFERROR(__xludf.DUMMYFUNCTION("""COMPUTED_VALUE"""),"Accelerator")</f>
        <v>Accelerator</v>
      </c>
      <c r="C163" s="7" t="str">
        <f>IFERROR(__xludf.DUMMYFUNCTION("""COMPUTED_VALUE"""),"https://www.linkedin.com/company/ganeshalab/")</f>
        <v>https://www.linkedin.com/company/ganeshalab/</v>
      </c>
      <c r="D163" s="1" t="str">
        <f>IFERROR(__xludf.DUMMYFUNCTION("""COMPUTED_VALUE"""),"Chile")</f>
        <v>Chile</v>
      </c>
      <c r="E163" s="1"/>
      <c r="F163" s="1"/>
      <c r="G163" s="1"/>
      <c r="H163" s="1"/>
      <c r="I163" s="1"/>
      <c r="J163" s="1"/>
      <c r="K163" s="2"/>
      <c r="L163" s="2"/>
      <c r="M163" s="2"/>
      <c r="N163" s="3"/>
      <c r="O163" s="2" t="str">
        <f>IFERROR(__xludf.DUMMYFUNCTION("""COMPUTED_VALUE"""),"GaneshaLab is an international scale-up boutique for science and technology EarlyStage startups.")</f>
        <v>GaneshaLab is an international scale-up boutique for science and technology EarlyStage startups.</v>
      </c>
      <c r="P163" s="1"/>
      <c r="Q163" s="1"/>
      <c r="R163" s="1"/>
      <c r="S163" s="1"/>
      <c r="T163" s="1"/>
      <c r="U163" s="1"/>
      <c r="V163" s="1"/>
      <c r="W163" s="1"/>
      <c r="X163" s="1"/>
      <c r="Y163" s="1"/>
      <c r="Z163" s="1"/>
    </row>
    <row r="164">
      <c r="A164" s="1" t="str">
        <f>IFERROR(__xludf.DUMMYFUNCTION("""COMPUTED_VALUE"""),"GC Capital")</f>
        <v>GC Capital</v>
      </c>
      <c r="B164" s="1" t="str">
        <f>IFERROR(__xludf.DUMMYFUNCTION("""COMPUTED_VALUE"""),"Venture Capital Fund")</f>
        <v>Venture Capital Fund</v>
      </c>
      <c r="C164" s="7" t="str">
        <f>IFERROR(__xludf.DUMMYFUNCTION("""COMPUTED_VALUE"""),"http://gccapital.com.mx/")</f>
        <v>http://gccapital.com.mx/</v>
      </c>
      <c r="D164" s="1" t="str">
        <f>IFERROR(__xludf.DUMMYFUNCTION("""COMPUTED_VALUE"""),"Mexico")</f>
        <v>Mexico</v>
      </c>
      <c r="E164" s="1"/>
      <c r="F164" s="1"/>
      <c r="G164" s="1"/>
      <c r="H164" s="1"/>
      <c r="I164" s="1"/>
      <c r="J164" s="1"/>
      <c r="K164" s="2"/>
      <c r="L164" s="2"/>
      <c r="M164" s="2"/>
      <c r="N164" s="3"/>
      <c r="O164" s="2" t="str">
        <f>IFERROR(__xludf.DUMMYFUNCTION("""COMPUTED_VALUE"""),"Grand Canyon Capital is an early partner for pioneering founders with ideas that aim to change the world.")</f>
        <v>Grand Canyon Capital is an early partner for pioneering founders with ideas that aim to change the world.</v>
      </c>
      <c r="P164" s="1"/>
      <c r="Q164" s="1"/>
      <c r="R164" s="1"/>
      <c r="S164" s="1"/>
      <c r="T164" s="1"/>
      <c r="U164" s="1"/>
      <c r="V164" s="1"/>
      <c r="W164" s="1"/>
      <c r="X164" s="1"/>
      <c r="Y164" s="1"/>
      <c r="Z164" s="1"/>
    </row>
    <row r="165">
      <c r="A165" s="1" t="str">
        <f>IFERROR(__xludf.DUMMYFUNCTION("""COMPUTED_VALUE"""),"Gema Ventures")</f>
        <v>Gema Ventures</v>
      </c>
      <c r="B165" s="1" t="str">
        <f>IFERROR(__xludf.DUMMYFUNCTION("""COMPUTED_VALUE"""),"Accelerator")</f>
        <v>Accelerator</v>
      </c>
      <c r="C165" s="7" t="str">
        <f>IFERROR(__xludf.DUMMYFUNCTION("""COMPUTED_VALUE"""),"http://gemaventures.com/")</f>
        <v>http://gemaventures.com/</v>
      </c>
      <c r="D165" s="1"/>
      <c r="E165" s="1"/>
      <c r="F165" s="1"/>
      <c r="G165" s="1"/>
      <c r="H165" s="1"/>
      <c r="I165" s="1"/>
      <c r="J165" s="1"/>
      <c r="K165" s="2"/>
      <c r="L165" s="2"/>
      <c r="M165" s="2"/>
      <c r="N165" s="3"/>
      <c r="O165" s="2" t="str">
        <f>IFERROR(__xludf.DUMMYFUNCTION("""COMPUTED_VALUE"""),"Gema Ventures is a Startup Accelerator focused on B2B. We believe that customer experience is the most important essence in business development")</f>
        <v>Gema Ventures is a Startup Accelerator focused on B2B. We believe that customer experience is the most important essence in business development</v>
      </c>
      <c r="P165" s="1"/>
      <c r="Q165" s="1"/>
      <c r="R165" s="1"/>
      <c r="S165" s="1"/>
      <c r="T165" s="1"/>
      <c r="U165" s="1"/>
      <c r="V165" s="1"/>
      <c r="W165" s="1"/>
      <c r="X165" s="1"/>
      <c r="Y165" s="1"/>
      <c r="Z165" s="1"/>
    </row>
    <row r="166">
      <c r="A166" s="1" t="str">
        <f>IFERROR(__xludf.DUMMYFUNCTION("""COMPUTED_VALUE"""),"General Atlantic")</f>
        <v>General Atlantic</v>
      </c>
      <c r="B166" s="1" t="str">
        <f>IFERROR(__xludf.DUMMYFUNCTION("""COMPUTED_VALUE"""),"Venture Capital Fund")</f>
        <v>Venture Capital Fund</v>
      </c>
      <c r="C166" s="7" t="str">
        <f>IFERROR(__xludf.DUMMYFUNCTION("""COMPUTED_VALUE"""),"https://www.generalatlantic.com/")</f>
        <v>https://www.generalatlantic.com/</v>
      </c>
      <c r="D166" s="1"/>
      <c r="E166" s="1"/>
      <c r="F166" s="1"/>
      <c r="G166" s="1"/>
      <c r="H166" s="1"/>
      <c r="I166" s="1" t="str">
        <f>IFERROR(__xludf.DUMMYFUNCTION("""COMPUTED_VALUE"""),"Y")</f>
        <v>Y</v>
      </c>
      <c r="J166" s="1" t="str">
        <f>IFERROR(__xludf.DUMMYFUNCTION("""COMPUTED_VALUE"""),"Y")</f>
        <v>Y</v>
      </c>
      <c r="K166" s="2"/>
      <c r="L166" s="2"/>
      <c r="M166" s="2"/>
      <c r="N166" s="3"/>
      <c r="O166" s="2" t="str">
        <f>IFERROR(__xludf.DUMMYFUNCTION("""COMPUTED_VALUE"""),"General Atlantic is a global growth equity firm providing capital and strategic support for growth companies.")</f>
        <v>General Atlantic is a global growth equity firm providing capital and strategic support for growth companies.</v>
      </c>
      <c r="P166" s="1"/>
      <c r="Q166" s="1"/>
      <c r="R166" s="1"/>
      <c r="S166" s="1"/>
      <c r="T166" s="1"/>
      <c r="U166" s="1"/>
      <c r="V166" s="1"/>
      <c r="W166" s="1"/>
      <c r="X166" s="1"/>
      <c r="Y166" s="1"/>
      <c r="Z166" s="1"/>
    </row>
    <row r="167">
      <c r="A167" s="1" t="str">
        <f>IFERROR(__xludf.DUMMYFUNCTION("""COMPUTED_VALUE"""),"Gepian")</f>
        <v>Gepian</v>
      </c>
      <c r="B167" s="1" t="str">
        <f>IFERROR(__xludf.DUMMYFUNCTION("""COMPUTED_VALUE"""),"Accelerator")</f>
        <v>Accelerator</v>
      </c>
      <c r="C167" s="7" t="str">
        <f>IFERROR(__xludf.DUMMYFUNCTION("""COMPUTED_VALUE"""),"http://gepian.com.uy/")</f>
        <v>http://gepian.com.uy/</v>
      </c>
      <c r="D167" s="1"/>
      <c r="E167" s="1"/>
      <c r="F167" s="1"/>
      <c r="G167" s="1"/>
      <c r="H167" s="1"/>
      <c r="I167" s="1"/>
      <c r="J167" s="1"/>
      <c r="K167" s="2"/>
      <c r="L167" s="2"/>
      <c r="M167" s="2"/>
      <c r="N167" s="3"/>
      <c r="O167" s="2" t="str">
        <f>IFERROR(__xludf.DUMMYFUNCTION("""COMPUTED_VALUE"""),"We stimulate and support the creation, development and maturation of ventures so that they can become successful,")</f>
        <v>We stimulate and support the creation, development and maturation of ventures so that they can become successful,</v>
      </c>
      <c r="P167" s="1"/>
      <c r="Q167" s="1"/>
      <c r="R167" s="1"/>
      <c r="S167" s="1"/>
      <c r="T167" s="1"/>
      <c r="U167" s="1"/>
      <c r="V167" s="1"/>
      <c r="W167" s="1"/>
      <c r="X167" s="1"/>
      <c r="Y167" s="1"/>
      <c r="Z167" s="1"/>
    </row>
    <row r="168">
      <c r="A168" s="1" t="str">
        <f>IFERROR(__xludf.DUMMYFUNCTION("""COMPUTED_VALUE"""),"Gerbera Capital")</f>
        <v>Gerbera Capital</v>
      </c>
      <c r="B168" s="1" t="str">
        <f>IFERROR(__xludf.DUMMYFUNCTION("""COMPUTED_VALUE"""),"Investment Management Firm")</f>
        <v>Investment Management Firm</v>
      </c>
      <c r="C168" s="7" t="str">
        <f>IFERROR(__xludf.DUMMYFUNCTION("""COMPUTED_VALUE"""),"http://www.gerberacapital.com")</f>
        <v>http://www.gerberacapital.com</v>
      </c>
      <c r="D168" s="1"/>
      <c r="E168" s="1"/>
      <c r="F168" s="1"/>
      <c r="G168" s="1"/>
      <c r="H168" s="1" t="str">
        <f>IFERROR(__xludf.DUMMYFUNCTION("""COMPUTED_VALUE"""),"Y")</f>
        <v>Y</v>
      </c>
      <c r="I168" s="1"/>
      <c r="J168" s="1"/>
      <c r="K168" s="2"/>
      <c r="L168" s="2"/>
      <c r="M168" s="2"/>
      <c r="N168" s="3"/>
      <c r="O168" s="2" t="str">
        <f>IFERROR(__xludf.DUMMYFUNCTION("""COMPUTED_VALUE"""),"Gerbera Capital offers private equity and venture capital to entrepreneurs in Mexico.")</f>
        <v>Gerbera Capital offers private equity and venture capital to entrepreneurs in Mexico.</v>
      </c>
      <c r="P168" s="1"/>
      <c r="Q168" s="1"/>
      <c r="R168" s="1"/>
      <c r="S168" s="1"/>
      <c r="T168" s="1"/>
      <c r="U168" s="1"/>
      <c r="V168" s="1"/>
      <c r="W168" s="1"/>
      <c r="X168" s="1"/>
      <c r="Y168" s="1"/>
      <c r="Z168" s="1"/>
    </row>
    <row r="169" hidden="1">
      <c r="A169" s="1" t="str">
        <f>IFERROR(__xludf.DUMMYFUNCTION("""COMPUTED_VALUE"""),"Germinadora")</f>
        <v>Germinadora</v>
      </c>
      <c r="B169" s="1" t="str">
        <f>IFERROR(__xludf.DUMMYFUNCTION("""COMPUTED_VALUE"""),"Accelerator")</f>
        <v>Accelerator</v>
      </c>
      <c r="C169" s="1"/>
      <c r="D169" s="1"/>
      <c r="E169" s="1"/>
      <c r="F169" s="1"/>
      <c r="G169" s="1"/>
      <c r="H169" s="1"/>
      <c r="I169" s="1"/>
      <c r="J169" s="1"/>
      <c r="K169" s="2"/>
      <c r="L169" s="2"/>
      <c r="M169" s="2"/>
      <c r="N169" s="3"/>
      <c r="O169" s="2"/>
      <c r="P169" s="1"/>
      <c r="Q169" s="1"/>
      <c r="R169" s="1"/>
      <c r="S169" s="1"/>
      <c r="T169" s="1"/>
      <c r="U169" s="1"/>
      <c r="V169" s="1"/>
      <c r="W169" s="1"/>
      <c r="X169" s="1"/>
      <c r="Y169" s="1"/>
      <c r="Z169" s="1"/>
    </row>
    <row r="170">
      <c r="A170" s="1" t="str">
        <f>IFERROR(__xludf.DUMMYFUNCTION("""COMPUTED_VALUE"""),"GGV Capital")</f>
        <v>GGV Capital</v>
      </c>
      <c r="B170" s="1" t="str">
        <f>IFERROR(__xludf.DUMMYFUNCTION("""COMPUTED_VALUE"""),"Venture Capital Fund")</f>
        <v>Venture Capital Fund</v>
      </c>
      <c r="C170" s="7" t="str">
        <f>IFERROR(__xludf.DUMMYFUNCTION("""COMPUTED_VALUE"""),"https://www.ggvc.com/")</f>
        <v>https://www.ggvc.com/</v>
      </c>
      <c r="D170" s="1" t="str">
        <f>IFERROR(__xludf.DUMMYFUNCTION("""COMPUTED_VALUE"""),"United States of America")</f>
        <v>United States of America</v>
      </c>
      <c r="E170" s="1"/>
      <c r="F170" s="1"/>
      <c r="G170" s="1" t="str">
        <f>IFERROR(__xludf.DUMMYFUNCTION("""COMPUTED_VALUE"""),"Y")</f>
        <v>Y</v>
      </c>
      <c r="H170" s="1" t="str">
        <f>IFERROR(__xludf.DUMMYFUNCTION("""COMPUTED_VALUE"""),"Y")</f>
        <v>Y</v>
      </c>
      <c r="I170" s="1" t="str">
        <f>IFERROR(__xludf.DUMMYFUNCTION("""COMPUTED_VALUE"""),"Y")</f>
        <v>Y</v>
      </c>
      <c r="J170" s="1" t="str">
        <f>IFERROR(__xludf.DUMMYFUNCTION("""COMPUTED_VALUE"""),"Y")</f>
        <v>Y</v>
      </c>
      <c r="K170" s="2"/>
      <c r="L170" s="2"/>
      <c r="M170" s="2"/>
      <c r="N170" s="3"/>
      <c r="O170" s="2" t="str">
        <f>IFERROR(__xludf.DUMMYFUNCTION("""COMPUTED_VALUE"""),"Global venture capital firm that invests in local founders.")</f>
        <v>Global venture capital firm that invests in local founders.</v>
      </c>
      <c r="P170" s="1"/>
      <c r="Q170" s="1"/>
      <c r="R170" s="1"/>
      <c r="S170" s="1"/>
      <c r="T170" s="1"/>
      <c r="U170" s="1"/>
      <c r="V170" s="1"/>
      <c r="W170" s="1"/>
      <c r="X170" s="1"/>
      <c r="Y170" s="1"/>
      <c r="Z170" s="1"/>
    </row>
    <row r="171">
      <c r="A171" s="1" t="str">
        <f>IFERROR(__xludf.DUMMYFUNCTION("""COMPUTED_VALUE"""),"Glisco Partners")</f>
        <v>Glisco Partners</v>
      </c>
      <c r="B171" s="1" t="str">
        <f>IFERROR(__xludf.DUMMYFUNCTION("""COMPUTED_VALUE"""),"Private Equity Firm")</f>
        <v>Private Equity Firm</v>
      </c>
      <c r="C171" s="7" t="str">
        <f>IFERROR(__xludf.DUMMYFUNCTION("""COMPUTED_VALUE"""),"http://www.gliscopartners.com")</f>
        <v>http://www.gliscopartners.com</v>
      </c>
      <c r="D171" s="1"/>
      <c r="E171" s="1"/>
      <c r="F171" s="1"/>
      <c r="G171" s="1"/>
      <c r="H171" s="1" t="str">
        <f>IFERROR(__xludf.DUMMYFUNCTION("""COMPUTED_VALUE"""),"Y")</f>
        <v>Y</v>
      </c>
      <c r="I171" s="1" t="str">
        <f>IFERROR(__xludf.DUMMYFUNCTION("""COMPUTED_VALUE"""),"Y")</f>
        <v>Y</v>
      </c>
      <c r="J171" s="1"/>
      <c r="K171" s="2"/>
      <c r="L171" s="2" t="str">
        <f>IFERROR(__xludf.DUMMYFUNCTION("""COMPUTED_VALUE"""),"10M+ USD")</f>
        <v>10M+ USD</v>
      </c>
      <c r="M171" s="2" t="str">
        <f>IFERROR(__xludf.DUMMYFUNCTION("""COMPUTED_VALUE"""),"Energy, Market, IT, Credit, Health")</f>
        <v>Energy, Market, IT, Credit, Health</v>
      </c>
      <c r="N171" s="3"/>
      <c r="O171" s="2" t="str">
        <f>IFERROR(__xludf.DUMMYFUNCTION("""COMPUTED_VALUE"""),"Glisco Partners is a leading private equity firm focused on the Mexican middle market with a long, established track record of executing and exiting high-quality transactions. Glisco was previously a part of Evercore Partners and in 2016 spun-out and beca"&amp;"me an independent firm.")</f>
        <v>Glisco Partners is a leading private equity firm focused on the Mexican middle market with a long, established track record of executing and exiting high-quality transactions. Glisco was previously a part of Evercore Partners and in 2016 spun-out and became an independent firm.</v>
      </c>
      <c r="P171" s="1"/>
      <c r="Q171" s="1"/>
      <c r="R171" s="1"/>
      <c r="S171" s="1"/>
      <c r="T171" s="1"/>
      <c r="U171" s="1"/>
      <c r="V171" s="1"/>
      <c r="W171" s="1"/>
      <c r="X171" s="1"/>
      <c r="Y171" s="1"/>
      <c r="Z171" s="1"/>
    </row>
    <row r="172">
      <c r="A172" s="1" t="str">
        <f>IFERROR(__xludf.DUMMYFUNCTION("""COMPUTED_VALUE"""),"Global Founders Capital")</f>
        <v>Global Founders Capital</v>
      </c>
      <c r="B172" s="1" t="str">
        <f>IFERROR(__xludf.DUMMYFUNCTION("""COMPUTED_VALUE"""),"Venture Capital Fund")</f>
        <v>Venture Capital Fund</v>
      </c>
      <c r="C172" s="7" t="str">
        <f>IFERROR(__xludf.DUMMYFUNCTION("""COMPUTED_VALUE"""),"https://www.globalfounderscapital.com/")</f>
        <v>https://www.globalfounderscapital.com/</v>
      </c>
      <c r="D172" s="1" t="str">
        <f>IFERROR(__xludf.DUMMYFUNCTION("""COMPUTED_VALUE"""),"Germany")</f>
        <v>Germany</v>
      </c>
      <c r="E172" s="1"/>
      <c r="F172" s="1"/>
      <c r="G172" s="1"/>
      <c r="H172" s="1"/>
      <c r="I172" s="1"/>
      <c r="J172" s="1"/>
      <c r="K172" s="2"/>
      <c r="L172" s="2" t="str">
        <f>IFERROR(__xludf.DUMMYFUNCTION("""COMPUTED_VALUE"""),"500k - 2M USD")</f>
        <v>500k - 2M USD</v>
      </c>
      <c r="M172" s="2"/>
      <c r="N172" s="3"/>
      <c r="O172" s="2" t="str">
        <f>IFERROR(__xludf.DUMMYFUNCTION("""COMPUTED_VALUE"""),"GFC is a globally oriented, stage agnostic venture fund that empowers gifted entrepreneurs.")</f>
        <v>GFC is a globally oriented, stage agnostic venture fund that empowers gifted entrepreneurs.</v>
      </c>
      <c r="P172" s="1"/>
      <c r="Q172" s="1"/>
      <c r="R172" s="1"/>
      <c r="S172" s="1"/>
      <c r="T172" s="1"/>
      <c r="U172" s="1"/>
      <c r="V172" s="1"/>
      <c r="W172" s="1"/>
      <c r="X172" s="1"/>
      <c r="Y172" s="1"/>
      <c r="Z172" s="1"/>
    </row>
    <row r="173">
      <c r="A173" s="1" t="str">
        <f>IFERROR(__xludf.DUMMYFUNCTION("""COMPUTED_VALUE"""),"Global Proteus")</f>
        <v>Global Proteus</v>
      </c>
      <c r="B173" s="1" t="str">
        <f>IFERROR(__xludf.DUMMYFUNCTION("""COMPUTED_VALUE"""),"Venture Capital Fund")</f>
        <v>Venture Capital Fund</v>
      </c>
      <c r="C173" s="7" t="str">
        <f>IFERROR(__xludf.DUMMYFUNCTION("""COMPUTED_VALUE"""),"www.globalproteus.com/")</f>
        <v>www.globalproteus.com/</v>
      </c>
      <c r="D173" s="1"/>
      <c r="E173" s="1"/>
      <c r="F173" s="1"/>
      <c r="G173" s="1" t="str">
        <f>IFERROR(__xludf.DUMMYFUNCTION("""COMPUTED_VALUE"""),"Y")</f>
        <v>Y</v>
      </c>
      <c r="H173" s="1"/>
      <c r="I173" s="1"/>
      <c r="J173" s="1"/>
      <c r="K173" s="2"/>
      <c r="L173" s="2"/>
      <c r="M173" s="2"/>
      <c r="N173" s="3"/>
      <c r="O173" s="2" t="str">
        <f>IFERROR(__xludf.DUMMYFUNCTION("""COMPUTED_VALUE"""),"Mexican micro-VC based in Guadalajara, Mexico.")</f>
        <v>Mexican micro-VC based in Guadalajara, Mexico.</v>
      </c>
      <c r="P173" s="1"/>
      <c r="Q173" s="1"/>
      <c r="R173" s="1"/>
      <c r="S173" s="1"/>
      <c r="T173" s="1"/>
      <c r="U173" s="1"/>
      <c r="V173" s="1"/>
      <c r="W173" s="1"/>
      <c r="X173" s="1"/>
      <c r="Y173" s="1"/>
      <c r="Z173" s="1"/>
    </row>
    <row r="174">
      <c r="A174" s="1" t="str">
        <f>IFERROR(__xludf.DUMMYFUNCTION("""COMPUTED_VALUE"""),"Globant Ventures")</f>
        <v>Globant Ventures</v>
      </c>
      <c r="B174" s="1" t="str">
        <f>IFERROR(__xludf.DUMMYFUNCTION("""COMPUTED_VALUE"""),"Corporate Accelerator")</f>
        <v>Corporate Accelerator</v>
      </c>
      <c r="C174" s="7" t="str">
        <f>IFERROR(__xludf.DUMMYFUNCTION("""COMPUTED_VALUE"""),"https://www.globantventures.com/")</f>
        <v>https://www.globantventures.com/</v>
      </c>
      <c r="D174" s="1" t="str">
        <f>IFERROR(__xludf.DUMMYFUNCTION("""COMPUTED_VALUE"""),"Argentina")</f>
        <v>Argentina</v>
      </c>
      <c r="E174" s="1"/>
      <c r="F174" s="1"/>
      <c r="G174" s="1"/>
      <c r="H174" s="1"/>
      <c r="I174" s="1"/>
      <c r="J174" s="1"/>
      <c r="K174" s="2"/>
      <c r="L174" s="2"/>
      <c r="M174" s="2"/>
      <c r="N174" s="3"/>
      <c r="O174" s="2" t="str">
        <f>IFERROR(__xludf.DUMMYFUNCTION("""COMPUTED_VALUE"""),"We are the accelerator of technology startups with high potential. With all the experience acquired at Globant, we seek to support technology-based startups.")</f>
        <v>We are the accelerator of technology startups with high potential. With all the experience acquired at Globant, we seek to support technology-based startups.</v>
      </c>
      <c r="P174" s="1"/>
      <c r="Q174" s="1"/>
      <c r="R174" s="1"/>
      <c r="S174" s="1"/>
      <c r="T174" s="1"/>
      <c r="U174" s="1"/>
      <c r="V174" s="1"/>
      <c r="W174" s="1"/>
      <c r="X174" s="1"/>
      <c r="Y174" s="1"/>
      <c r="Z174" s="1"/>
    </row>
    <row r="175">
      <c r="A175" s="1" t="str">
        <f>IFERROR(__xludf.DUMMYFUNCTION("""COMPUTED_VALUE"""),"Goldman Sachs")</f>
        <v>Goldman Sachs</v>
      </c>
      <c r="B175" s="1" t="str">
        <f>IFERROR(__xludf.DUMMYFUNCTION("""COMPUTED_VALUE"""),"Corporate Venture Fund")</f>
        <v>Corporate Venture Fund</v>
      </c>
      <c r="C175" s="7" t="str">
        <f>IFERROR(__xludf.DUMMYFUNCTION("""COMPUTED_VALUE"""),"http://www.goldmansachs.com/")</f>
        <v>http://www.goldmansachs.com/</v>
      </c>
      <c r="D175" s="1" t="str">
        <f>IFERROR(__xludf.DUMMYFUNCTION("""COMPUTED_VALUE"""),"United States of America")</f>
        <v>United States of America</v>
      </c>
      <c r="E175" s="1"/>
      <c r="F175" s="1"/>
      <c r="G175" s="1"/>
      <c r="H175" s="1" t="str">
        <f>IFERROR(__xludf.DUMMYFUNCTION("""COMPUTED_VALUE"""),"Y")</f>
        <v>Y</v>
      </c>
      <c r="I175" s="1" t="str">
        <f>IFERROR(__xludf.DUMMYFUNCTION("""COMPUTED_VALUE"""),"Y")</f>
        <v>Y</v>
      </c>
      <c r="J175" s="1" t="str">
        <f>IFERROR(__xludf.DUMMYFUNCTION("""COMPUTED_VALUE"""),"Y")</f>
        <v>Y</v>
      </c>
      <c r="K175" s="2"/>
      <c r="L175" s="2"/>
      <c r="M175" s="2"/>
      <c r="N175" s="3"/>
      <c r="O175" s="2" t="str">
        <f>IFERROR(__xludf.DUMMYFUNCTION("""COMPUTED_VALUE"""),"Goldman Sachs is a multinational financial services firm providing securities, and investment banking and management services.
")</f>
        <v>Goldman Sachs is a multinational financial services firm providing securities, and investment banking and management services.
</v>
      </c>
      <c r="P175" s="1"/>
      <c r="Q175" s="1"/>
      <c r="R175" s="1"/>
      <c r="S175" s="1"/>
      <c r="T175" s="1"/>
      <c r="U175" s="1"/>
      <c r="V175" s="1"/>
      <c r="W175" s="1"/>
      <c r="X175" s="1"/>
      <c r="Y175" s="1"/>
      <c r="Z175" s="1"/>
    </row>
    <row r="176">
      <c r="A176" s="1" t="str">
        <f>IFERROR(__xludf.DUMMYFUNCTION("""COMPUTED_VALUE"""),"Good Karma Ventures (GK Ventures)")</f>
        <v>Good Karma Ventures (GK Ventures)</v>
      </c>
      <c r="B176" s="1" t="str">
        <f>IFERROR(__xludf.DUMMYFUNCTION("""COMPUTED_VALUE"""),"Venture Capital Fund")</f>
        <v>Venture Capital Fund</v>
      </c>
      <c r="C176" s="7" t="str">
        <f>IFERROR(__xludf.DUMMYFUNCTION("""COMPUTED_VALUE"""),"https://www.gkventures.com/")</f>
        <v>https://www.gkventures.com/</v>
      </c>
      <c r="D176" s="1" t="str">
        <f>IFERROR(__xludf.DUMMYFUNCTION("""COMPUTED_VALUE"""),"Brazil")</f>
        <v>Brazil</v>
      </c>
      <c r="E176" s="1"/>
      <c r="F176" s="1"/>
      <c r="G176" s="1"/>
      <c r="H176" s="1"/>
      <c r="I176" s="1"/>
      <c r="J176" s="1"/>
      <c r="K176" s="2"/>
      <c r="L176" s="2"/>
      <c r="M176" s="2"/>
      <c r="N176" s="3"/>
      <c r="O176" s="2" t="str">
        <f>IFERROR(__xludf.DUMMYFUNCTION("""COMPUTED_VALUE"""),"Investment vehicle created to put talent and resources behind entrepreneurs that tackle Brazil's most relevant problems")</f>
        <v>Investment vehicle created to put talent and resources behind entrepreneurs that tackle Brazil's most relevant problems</v>
      </c>
      <c r="P176" s="1"/>
      <c r="Q176" s="1"/>
      <c r="R176" s="1"/>
      <c r="S176" s="1"/>
      <c r="T176" s="1"/>
      <c r="U176" s="1"/>
      <c r="V176" s="1"/>
      <c r="W176" s="1"/>
      <c r="X176" s="1"/>
      <c r="Y176" s="1"/>
      <c r="Z176" s="1"/>
    </row>
    <row r="177">
      <c r="A177" s="1" t="str">
        <f>IFERROR(__xludf.DUMMYFUNCTION("""COMPUTED_VALUE"""),"Google Launchpad")</f>
        <v>Google Launchpad</v>
      </c>
      <c r="B177" s="1" t="str">
        <f>IFERROR(__xludf.DUMMYFUNCTION("""COMPUTED_VALUE"""),"Accelerator")</f>
        <v>Accelerator</v>
      </c>
      <c r="C177" s="7" t="str">
        <f>IFERROR(__xludf.DUMMYFUNCTION("""COMPUTED_VALUE"""),"https://developers.google.com/community/accelerators")</f>
        <v>https://developers.google.com/community/accelerators</v>
      </c>
      <c r="D177" s="1" t="str">
        <f>IFERROR(__xludf.DUMMYFUNCTION("""COMPUTED_VALUE"""),"United States of America")</f>
        <v>United States of America</v>
      </c>
      <c r="E177" s="1"/>
      <c r="F177" s="1" t="str">
        <f>IFERROR(__xludf.DUMMYFUNCTION("""COMPUTED_VALUE"""),"Y")</f>
        <v>Y</v>
      </c>
      <c r="G177" s="1" t="str">
        <f>IFERROR(__xludf.DUMMYFUNCTION("""COMPUTED_VALUE"""),"Y")</f>
        <v>Y</v>
      </c>
      <c r="H177" s="1"/>
      <c r="I177" s="1"/>
      <c r="J177" s="1"/>
      <c r="K177" s="2"/>
      <c r="L177" s="2"/>
      <c r="M177" s="2"/>
      <c r="N177" s="3"/>
      <c r="O177" s="2" t="str">
        <f>IFERROR(__xludf.DUMMYFUNCTION("""COMPUTED_VALUE"""),"Launchpad Accelerator helps startups from around the world in developing the world’s greatest apps.")</f>
        <v>Launchpad Accelerator helps startups from around the world in developing the world’s greatest apps.</v>
      </c>
      <c r="P177" s="1"/>
      <c r="Q177" s="1"/>
      <c r="R177" s="1"/>
      <c r="S177" s="1"/>
      <c r="T177" s="1"/>
      <c r="U177" s="1"/>
      <c r="V177" s="1"/>
      <c r="W177" s="1"/>
      <c r="X177" s="1"/>
      <c r="Y177" s="1"/>
      <c r="Z177" s="1"/>
    </row>
    <row r="178">
      <c r="A178" s="1" t="str">
        <f>IFERROR(__xludf.DUMMYFUNCTION("""COMPUTED_VALUE"""),"Gray Matters Capital")</f>
        <v>Gray Matters Capital</v>
      </c>
      <c r="B178" s="1" t="str">
        <f>IFERROR(__xludf.DUMMYFUNCTION("""COMPUTED_VALUE"""),"Impact Investment Foundation")</f>
        <v>Impact Investment Foundation</v>
      </c>
      <c r="C178" s="7" t="str">
        <f>IFERROR(__xludf.DUMMYFUNCTION("""COMPUTED_VALUE"""),"http://www.graymatterscap.com/")</f>
        <v>http://www.graymatterscap.com/</v>
      </c>
      <c r="D178" s="1"/>
      <c r="E178" s="1"/>
      <c r="F178" s="1"/>
      <c r="G178" s="1" t="str">
        <f>IFERROR(__xludf.DUMMYFUNCTION("""COMPUTED_VALUE"""),"Y")</f>
        <v>Y</v>
      </c>
      <c r="H178" s="1" t="str">
        <f>IFERROR(__xludf.DUMMYFUNCTION("""COMPUTED_VALUE"""),"Y")</f>
        <v>Y</v>
      </c>
      <c r="I178" s="1"/>
      <c r="J178" s="1"/>
      <c r="K178" s="2"/>
      <c r="L178" s="2"/>
      <c r="M178" s="2"/>
      <c r="N178" s="3"/>
      <c r="O178" s="2" t="str">
        <f>IFERROR(__xludf.DUMMYFUNCTION("""COMPUTED_VALUE"""),"Gray Matters Capital, an impact investing enterprise, funds business models that benefit underserved populations in developing countries.")</f>
        <v>Gray Matters Capital, an impact investing enterprise, funds business models that benefit underserved populations in developing countries.</v>
      </c>
      <c r="P178" s="1"/>
      <c r="Q178" s="1"/>
      <c r="R178" s="1"/>
      <c r="S178" s="1"/>
      <c r="T178" s="1"/>
      <c r="U178" s="1"/>
      <c r="V178" s="1"/>
      <c r="W178" s="1"/>
      <c r="X178" s="1"/>
      <c r="Y178" s="1"/>
      <c r="Z178" s="1"/>
    </row>
    <row r="179">
      <c r="A179" s="1" t="str">
        <f>IFERROR(__xludf.DUMMYFUNCTION("""COMPUTED_VALUE"""),"Grupo Bimbo")</f>
        <v>Grupo Bimbo</v>
      </c>
      <c r="B179" s="1" t="str">
        <f>IFERROR(__xludf.DUMMYFUNCTION("""COMPUTED_VALUE"""),"Corporate Venture Fund")</f>
        <v>Corporate Venture Fund</v>
      </c>
      <c r="C179" s="7" t="str">
        <f>IFERROR(__xludf.DUMMYFUNCTION("""COMPUTED_VALUE"""),"https://grupobimbo.com/es/bimbo-ventures")</f>
        <v>https://grupobimbo.com/es/bimbo-ventures</v>
      </c>
      <c r="D179" s="1"/>
      <c r="E179" s="1"/>
      <c r="F179" s="1"/>
      <c r="G179" s="1"/>
      <c r="H179" s="1"/>
      <c r="I179" s="1"/>
      <c r="J179" s="1"/>
      <c r="K179" s="2"/>
      <c r="L179" s="2"/>
      <c r="M179" s="2"/>
      <c r="N179" s="3"/>
      <c r="O179" s="2" t="str">
        <f>IFERROR(__xludf.DUMMYFUNCTION("""COMPUTED_VALUE"""),"At Grupo Bimbo, we are constantly looking for projects that support continuous improvement, increasing productivity through innovation, always under an ethical approach.")</f>
        <v>At Grupo Bimbo, we are constantly looking for projects that support continuous improvement, increasing productivity through innovation, always under an ethical approach.</v>
      </c>
      <c r="P179" s="1"/>
      <c r="Q179" s="1"/>
      <c r="R179" s="1"/>
      <c r="S179" s="1"/>
      <c r="T179" s="1"/>
      <c r="U179" s="1"/>
      <c r="V179" s="1"/>
      <c r="W179" s="1"/>
      <c r="X179" s="1"/>
      <c r="Y179" s="1"/>
      <c r="Z179" s="1"/>
    </row>
    <row r="180">
      <c r="A180" s="1" t="str">
        <f>IFERROR(__xludf.DUMMYFUNCTION("""COMPUTED_VALUE"""),"Grupo Bolivar")</f>
        <v>Grupo Bolivar</v>
      </c>
      <c r="B180" s="1" t="str">
        <f>IFERROR(__xludf.DUMMYFUNCTION("""COMPUTED_VALUE"""),"Corporate Venture Capital Fund")</f>
        <v>Corporate Venture Capital Fund</v>
      </c>
      <c r="C180" s="7" t="str">
        <f>IFERROR(__xludf.DUMMYFUNCTION("""COMPUTED_VALUE"""),"https://www.davivienda.com/")</f>
        <v>https://www.davivienda.com/</v>
      </c>
      <c r="D180" s="1" t="str">
        <f>IFERROR(__xludf.DUMMYFUNCTION("""COMPUTED_VALUE"""),"Colombia")</f>
        <v>Colombia</v>
      </c>
      <c r="E180" s="1"/>
      <c r="F180" s="1"/>
      <c r="G180" s="1"/>
      <c r="H180" s="1"/>
      <c r="I180" s="1"/>
      <c r="J180" s="1"/>
      <c r="K180" s="2"/>
      <c r="L180" s="2"/>
      <c r="M180" s="2"/>
      <c r="N180" s="3"/>
      <c r="O180" s="2" t="str">
        <f>IFERROR(__xludf.DUMMYFUNCTION("""COMPUTED_VALUE"""),"Grupo Bolivar is an insurance company that engages in the provision of banking services.")</f>
        <v>Grupo Bolivar is an insurance company that engages in the provision of banking services.</v>
      </c>
      <c r="P180" s="1"/>
      <c r="Q180" s="1"/>
      <c r="R180" s="1"/>
      <c r="S180" s="1"/>
      <c r="T180" s="1"/>
      <c r="U180" s="1"/>
      <c r="V180" s="1"/>
      <c r="W180" s="1"/>
      <c r="X180" s="1"/>
      <c r="Y180" s="1"/>
      <c r="Z180" s="1"/>
    </row>
    <row r="181">
      <c r="A181" s="1" t="str">
        <f>IFERROR(__xludf.DUMMYFUNCTION("""COMPUTED_VALUE"""),"GV")</f>
        <v>GV</v>
      </c>
      <c r="B181" s="1" t="str">
        <f>IFERROR(__xludf.DUMMYFUNCTION("""COMPUTED_VALUE"""),"Corporate Venture Fund")</f>
        <v>Corporate Venture Fund</v>
      </c>
      <c r="C181" s="7" t="str">
        <f>IFERROR(__xludf.DUMMYFUNCTION("""COMPUTED_VALUE"""),"www.gv.com")</f>
        <v>www.gv.com</v>
      </c>
      <c r="D181" s="1"/>
      <c r="E181" s="1"/>
      <c r="F181" s="1"/>
      <c r="G181" s="1"/>
      <c r="H181" s="1" t="str">
        <f>IFERROR(__xludf.DUMMYFUNCTION("""COMPUTED_VALUE"""),"Y")</f>
        <v>Y</v>
      </c>
      <c r="I181" s="1"/>
      <c r="J181" s="1"/>
      <c r="K181" s="2"/>
      <c r="L181" s="2"/>
      <c r="M181" s="2"/>
      <c r="N181" s="3"/>
      <c r="O181" s="2" t="str">
        <f>IFERROR(__xludf.DUMMYFUNCTION("""COMPUTED_VALUE"""),"GV provides seed, venture, and growth stage funding to technology companies.")</f>
        <v>GV provides seed, venture, and growth stage funding to technology companies.</v>
      </c>
      <c r="P181" s="1"/>
      <c r="Q181" s="1"/>
      <c r="R181" s="1"/>
      <c r="S181" s="1"/>
      <c r="T181" s="1"/>
      <c r="U181" s="1"/>
      <c r="V181" s="1"/>
      <c r="W181" s="1"/>
      <c r="X181" s="1"/>
      <c r="Y181" s="1"/>
      <c r="Z181" s="1"/>
    </row>
    <row r="182">
      <c r="A182" s="1" t="str">
        <f>IFERROR(__xludf.DUMMYFUNCTION("""COMPUTED_VALUE"""),"HarbourVest Partners")</f>
        <v>HarbourVest Partners</v>
      </c>
      <c r="B182" s="1" t="str">
        <f>IFERROR(__xludf.DUMMYFUNCTION("""COMPUTED_VALUE"""),"Private Equity Firm")</f>
        <v>Private Equity Firm</v>
      </c>
      <c r="C182" s="7" t="str">
        <f>IFERROR(__xludf.DUMMYFUNCTION("""COMPUTED_VALUE"""),"https://www.harbourvest.com/")</f>
        <v>https://www.harbourvest.com/</v>
      </c>
      <c r="D182" s="1" t="str">
        <f>IFERROR(__xludf.DUMMYFUNCTION("""COMPUTED_VALUE"""),"United States of America")</f>
        <v>United States of America</v>
      </c>
      <c r="E182" s="1"/>
      <c r="F182" s="1"/>
      <c r="G182" s="1"/>
      <c r="H182" s="1"/>
      <c r="I182" s="1"/>
      <c r="J182" s="1"/>
      <c r="K182" s="2"/>
      <c r="L182" s="2"/>
      <c r="M182" s="2"/>
      <c r="N182" s="3"/>
      <c r="O182" s="2"/>
      <c r="P182" s="1"/>
      <c r="Q182" s="1"/>
      <c r="R182" s="1"/>
      <c r="S182" s="1"/>
      <c r="T182" s="1"/>
      <c r="U182" s="1"/>
      <c r="V182" s="1"/>
      <c r="W182" s="1"/>
      <c r="X182" s="1"/>
      <c r="Y182" s="1"/>
      <c r="Z182" s="1"/>
    </row>
    <row r="183">
      <c r="A183" s="1" t="str">
        <f>IFERROR(__xludf.DUMMYFUNCTION("""COMPUTED_VALUE"""),"Hard Yaka")</f>
        <v>Hard Yaka</v>
      </c>
      <c r="B183" s="1" t="str">
        <f>IFERROR(__xludf.DUMMYFUNCTION("""COMPUTED_VALUE"""),"Venture Capital Fund")</f>
        <v>Venture Capital Fund</v>
      </c>
      <c r="C183" s="7" t="str">
        <f>IFERROR(__xludf.DUMMYFUNCTION("""COMPUTED_VALUE"""),"https://hardyaka.com/")</f>
        <v>https://hardyaka.com/</v>
      </c>
      <c r="D183" s="1"/>
      <c r="E183" s="1"/>
      <c r="F183" s="1"/>
      <c r="G183" s="1"/>
      <c r="H183" s="1"/>
      <c r="I183" s="1"/>
      <c r="J183" s="1"/>
      <c r="K183" s="2"/>
      <c r="L183" s="2"/>
      <c r="M183" s="2"/>
      <c r="N183" s="3"/>
      <c r="O183" s="2" t="str">
        <f>IFERROR(__xludf.DUMMYFUNCTION("""COMPUTED_VALUE"""),"Fund investing in teams that revolutionize exchanges between seekers and providers of goods, services, and information.")</f>
        <v>Fund investing in teams that revolutionize exchanges between seekers and providers of goods, services, and information.</v>
      </c>
      <c r="P183" s="1"/>
      <c r="Q183" s="1"/>
      <c r="R183" s="1"/>
      <c r="S183" s="1"/>
      <c r="T183" s="1"/>
      <c r="U183" s="1"/>
      <c r="V183" s="1"/>
      <c r="W183" s="1"/>
      <c r="X183" s="1"/>
      <c r="Y183" s="1"/>
      <c r="Z183" s="1"/>
    </row>
    <row r="184">
      <c r="A184" s="1" t="str">
        <f>IFERROR(__xludf.DUMMYFUNCTION("""COMPUTED_VALUE"""),"Health Innova Hub")</f>
        <v>Health Innova Hub</v>
      </c>
      <c r="B184" s="1" t="str">
        <f>IFERROR(__xludf.DUMMYFUNCTION("""COMPUTED_VALUE"""),"Accelerator")</f>
        <v>Accelerator</v>
      </c>
      <c r="C184" s="7" t="str">
        <f>IFERROR(__xludf.DUMMYFUNCTION("""COMPUTED_VALUE"""),"http://healthinnovahub.com")</f>
        <v>http://healthinnovahub.com</v>
      </c>
      <c r="D184" s="1"/>
      <c r="E184" s="1" t="str">
        <f>IFERROR(__xludf.DUMMYFUNCTION("""COMPUTED_VALUE""")," Brazil")</f>
        <v> Brazil</v>
      </c>
      <c r="F184" s="1"/>
      <c r="G184" s="1"/>
      <c r="H184" s="1"/>
      <c r="I184" s="1"/>
      <c r="J184" s="1"/>
      <c r="K184" s="2" t="str">
        <f>IFERROR(__xludf.DUMMYFUNCTION("""COMPUTED_VALUE""")," Brazil")</f>
        <v> Brazil</v>
      </c>
      <c r="L184" s="2"/>
      <c r="M184" s="2"/>
      <c r="N184" s="3"/>
      <c r="O184" s="2" t="str">
        <f>IFERROR(__xludf.DUMMYFUNCTION("""COMPUTED_VALUE"""),"We are the leading community of healthcare entrepreneurs, investors, executives and patients, focused on healthcare innovation, in Brazil.")</f>
        <v>We are the leading community of healthcare entrepreneurs, investors, executives and patients, focused on healthcare innovation, in Brazil.</v>
      </c>
      <c r="P184" s="1"/>
      <c r="Q184" s="1"/>
      <c r="R184" s="1"/>
      <c r="S184" s="1"/>
      <c r="T184" s="1"/>
      <c r="U184" s="1"/>
      <c r="V184" s="1"/>
      <c r="W184" s="1"/>
      <c r="X184" s="1"/>
      <c r="Y184" s="1"/>
      <c r="Z184" s="1"/>
    </row>
    <row r="185">
      <c r="A185" s="1" t="str">
        <f>IFERROR(__xludf.DUMMYFUNCTION("""COMPUTED_VALUE"""),"Hofburg Capital")</f>
        <v>Hofburg Capital</v>
      </c>
      <c r="B185" s="1" t="str">
        <f>IFERROR(__xludf.DUMMYFUNCTION("""COMPUTED_VALUE"""),"Venture Capital Fund")</f>
        <v>Venture Capital Fund</v>
      </c>
      <c r="C185" s="7" t="str">
        <f>IFERROR(__xludf.DUMMYFUNCTION("""COMPUTED_VALUE"""),"http://www.hofburgcapital.com/")</f>
        <v>http://www.hofburgcapital.com/</v>
      </c>
      <c r="D185" s="1" t="str">
        <f>IFERROR(__xludf.DUMMYFUNCTION("""COMPUTED_VALUE"""),"Mexico")</f>
        <v>Mexico</v>
      </c>
      <c r="E185" s="1"/>
      <c r="F185" s="1"/>
      <c r="G185" s="1"/>
      <c r="H185" s="1"/>
      <c r="I185" s="1"/>
      <c r="J185" s="1"/>
      <c r="K185" s="2"/>
      <c r="L185" s="2"/>
      <c r="M185" s="2"/>
      <c r="N185" s="3"/>
      <c r="O185" s="2" t="str">
        <f>IFERROR(__xludf.DUMMYFUNCTION("""COMPUTED_VALUE"""),"Syntaxis is an independent specialist junior capital advisor that finances private mid-market companies in Central Europe.")</f>
        <v>Syntaxis is an independent specialist junior capital advisor that finances private mid-market companies in Central Europe.</v>
      </c>
      <c r="P185" s="1"/>
      <c r="Q185" s="1"/>
      <c r="R185" s="1"/>
      <c r="S185" s="1"/>
      <c r="T185" s="1"/>
      <c r="U185" s="1"/>
      <c r="V185" s="1"/>
      <c r="W185" s="1"/>
      <c r="X185" s="1"/>
      <c r="Y185" s="1"/>
      <c r="Z185" s="1"/>
    </row>
    <row r="186">
      <c r="A186" s="1" t="str">
        <f>IFERROR(__xludf.DUMMYFUNCTION("""COMPUTED_VALUE"""),"Homebrew")</f>
        <v>Homebrew</v>
      </c>
      <c r="B186" s="1" t="str">
        <f>IFERROR(__xludf.DUMMYFUNCTION("""COMPUTED_VALUE"""),"Venture Capital Fund")</f>
        <v>Venture Capital Fund</v>
      </c>
      <c r="C186" s="7" t="str">
        <f>IFERROR(__xludf.DUMMYFUNCTION("""COMPUTED_VALUE"""),"http://homebrew.co/")</f>
        <v>http://homebrew.co/</v>
      </c>
      <c r="D186" s="1" t="str">
        <f>IFERROR(__xludf.DUMMYFUNCTION("""COMPUTED_VALUE"""),"United States of America")</f>
        <v>United States of America</v>
      </c>
      <c r="E186" s="1"/>
      <c r="F186" s="1" t="str">
        <f>IFERROR(__xludf.DUMMYFUNCTION("""COMPUTED_VALUE"""),"Y")</f>
        <v>Y</v>
      </c>
      <c r="G186" s="1" t="str">
        <f>IFERROR(__xludf.DUMMYFUNCTION("""COMPUTED_VALUE"""),"Y")</f>
        <v>Y</v>
      </c>
      <c r="H186" s="1" t="str">
        <f>IFERROR(__xludf.DUMMYFUNCTION("""COMPUTED_VALUE"""),"Y")</f>
        <v>Y</v>
      </c>
      <c r="I186" s="1" t="str">
        <f>IFERROR(__xludf.DUMMYFUNCTION("""COMPUTED_VALUE"""),"Y")</f>
        <v>Y</v>
      </c>
      <c r="J186" s="1" t="str">
        <f>IFERROR(__xludf.DUMMYFUNCTION("""COMPUTED_VALUE"""),"Y")</f>
        <v>Y</v>
      </c>
      <c r="K186" s="2"/>
      <c r="L186" s="2"/>
      <c r="M186" s="2"/>
      <c r="N186" s="3"/>
      <c r="O186" s="2" t="str">
        <f>IFERROR(__xludf.DUMMYFUNCTION("""COMPUTED_VALUE"""),"Homebrew provides seed-stage fund and operational expertise for entrepreneurs building the bottom up economy.")</f>
        <v>Homebrew provides seed-stage fund and operational expertise for entrepreneurs building the bottom up economy.</v>
      </c>
      <c r="P186" s="1"/>
      <c r="Q186" s="1"/>
      <c r="R186" s="1"/>
      <c r="S186" s="1"/>
      <c r="T186" s="1"/>
      <c r="U186" s="1"/>
      <c r="V186" s="1"/>
      <c r="W186" s="1"/>
      <c r="X186" s="1"/>
      <c r="Y186" s="1"/>
      <c r="Z186" s="1"/>
    </row>
    <row r="187">
      <c r="A187" s="1" t="str">
        <f>IFERROR(__xludf.DUMMYFUNCTION("""COMPUTED_VALUE"""),"HubBog")</f>
        <v>HubBog</v>
      </c>
      <c r="B187" s="1" t="str">
        <f>IFERROR(__xludf.DUMMYFUNCTION("""COMPUTED_VALUE"""),"Accelerator")</f>
        <v>Accelerator</v>
      </c>
      <c r="C187" s="7" t="str">
        <f>IFERROR(__xludf.DUMMYFUNCTION("""COMPUTED_VALUE"""),"https://hubbog.com/")</f>
        <v>https://hubbog.com/</v>
      </c>
      <c r="D187" s="1"/>
      <c r="E187" s="1"/>
      <c r="F187" s="1"/>
      <c r="G187" s="1"/>
      <c r="H187" s="1"/>
      <c r="I187" s="1"/>
      <c r="J187" s="1"/>
      <c r="K187" s="2"/>
      <c r="L187" s="2"/>
      <c r="M187" s="2"/>
      <c r="N187" s="3"/>
      <c r="O187" s="2" t="str">
        <f>IFERROR(__xludf.DUMMYFUNCTION("""COMPUTED_VALUE"""),"HubBOG is the first “Campus For Startups” in Latin America that integrates Acceleration, Academia, Networking and Investment in one place.  ")</f>
        <v>HubBOG is the first “Campus For Startups” in Latin America that integrates Acceleration, Academia, Networking and Investment in one place.  </v>
      </c>
      <c r="P187" s="1"/>
      <c r="Q187" s="1"/>
      <c r="R187" s="1"/>
      <c r="S187" s="1"/>
      <c r="T187" s="1"/>
      <c r="U187" s="1"/>
      <c r="V187" s="1"/>
      <c r="W187" s="1"/>
      <c r="X187" s="1"/>
      <c r="Y187" s="1"/>
      <c r="Z187" s="1"/>
    </row>
    <row r="188">
      <c r="A188" s="1" t="str">
        <f>IFERROR(__xludf.DUMMYFUNCTION("""COMPUTED_VALUE"""),"ID345.TECH")</f>
        <v>ID345.TECH</v>
      </c>
      <c r="B188" s="1" t="str">
        <f>IFERROR(__xludf.DUMMYFUNCTION("""COMPUTED_VALUE"""),"Angel Investment Club")</f>
        <v>Angel Investment Club</v>
      </c>
      <c r="C188" s="7" t="str">
        <f>IFERROR(__xludf.DUMMYFUNCTION("""COMPUTED_VALUE"""),"https://www.id345.tech/")</f>
        <v>https://www.id345.tech/</v>
      </c>
      <c r="D188" s="1" t="str">
        <f>IFERROR(__xludf.DUMMYFUNCTION("""COMPUTED_VALUE"""),"United States of America")</f>
        <v>United States of America</v>
      </c>
      <c r="E188" s="1"/>
      <c r="F188" s="1"/>
      <c r="G188" s="1" t="str">
        <f>IFERROR(__xludf.DUMMYFUNCTION("""COMPUTED_VALUE"""),"Y")</f>
        <v>Y</v>
      </c>
      <c r="H188" s="1"/>
      <c r="I188" s="1"/>
      <c r="J188" s="1"/>
      <c r="K188" s="2"/>
      <c r="L188" s="2"/>
      <c r="M188" s="2"/>
      <c r="N188" s="3"/>
      <c r="O188" s="2"/>
      <c r="P188" s="1"/>
      <c r="Q188" s="1"/>
      <c r="R188" s="1"/>
      <c r="S188" s="1"/>
      <c r="T188" s="1"/>
      <c r="U188" s="1"/>
      <c r="V188" s="1"/>
      <c r="W188" s="1"/>
      <c r="X188" s="1"/>
      <c r="Y188" s="1"/>
      <c r="Z188" s="1"/>
    </row>
    <row r="189">
      <c r="A189" s="1" t="str">
        <f>IFERROR(__xludf.DUMMYFUNCTION("""COMPUTED_VALUE"""),"Ideas Factory")</f>
        <v>Ideas Factory</v>
      </c>
      <c r="B189" s="1" t="str">
        <f>IFERROR(__xludf.DUMMYFUNCTION("""COMPUTED_VALUE"""),"Accelerator")</f>
        <v>Accelerator</v>
      </c>
      <c r="C189" s="7" t="str">
        <f>IFERROR(__xludf.DUMMYFUNCTION("""COMPUTED_VALUE"""),"http://ideasfactory.la/")</f>
        <v>http://ideasfactory.la/</v>
      </c>
      <c r="D189" s="1"/>
      <c r="E189" s="1"/>
      <c r="F189" s="1"/>
      <c r="G189" s="1"/>
      <c r="H189" s="1"/>
      <c r="I189" s="1"/>
      <c r="J189" s="1"/>
      <c r="K189" s="2"/>
      <c r="L189" s="2"/>
      <c r="M189" s="2"/>
      <c r="N189" s="3"/>
      <c r="O189" s="2"/>
      <c r="P189" s="1"/>
      <c r="Q189" s="1"/>
      <c r="R189" s="1"/>
      <c r="S189" s="1"/>
      <c r="T189" s="1"/>
      <c r="U189" s="1"/>
      <c r="V189" s="1"/>
      <c r="W189" s="1"/>
      <c r="X189" s="1"/>
      <c r="Y189" s="1"/>
      <c r="Z189" s="1"/>
    </row>
    <row r="190">
      <c r="A190" s="1" t="str">
        <f>IFERROR(__xludf.DUMMYFUNCTION("""COMPUTED_VALUE"""),"Ideas y Capital")</f>
        <v>Ideas y Capital</v>
      </c>
      <c r="B190" s="1" t="str">
        <f>IFERROR(__xludf.DUMMYFUNCTION("""COMPUTED_VALUE"""),"Venture Capital Fund")</f>
        <v>Venture Capital Fund</v>
      </c>
      <c r="C190" s="7" t="str">
        <f>IFERROR(__xludf.DUMMYFUNCTION("""COMPUTED_VALUE"""),"www.ideasycapital.com/")</f>
        <v>www.ideasycapital.com/</v>
      </c>
      <c r="D190" s="1" t="str">
        <f>IFERROR(__xludf.DUMMYFUNCTION("""COMPUTED_VALUE"""),"Mexico")</f>
        <v>Mexico</v>
      </c>
      <c r="E190" s="1"/>
      <c r="F190" s="1"/>
      <c r="G190" s="1" t="str">
        <f>IFERROR(__xludf.DUMMYFUNCTION("""COMPUTED_VALUE"""),"Y")</f>
        <v>Y</v>
      </c>
      <c r="H190" s="1" t="str">
        <f>IFERROR(__xludf.DUMMYFUNCTION("""COMPUTED_VALUE"""),"Y")</f>
        <v>Y</v>
      </c>
      <c r="I190" s="1"/>
      <c r="J190" s="1"/>
      <c r="K190" s="2"/>
      <c r="L190" s="2"/>
      <c r="M190" s="2"/>
      <c r="N190" s="3"/>
      <c r="O190" s="2" t="str">
        <f>IFERROR(__xludf.DUMMYFUNCTION("""COMPUTED_VALUE"""),"Ideas &amp; Capital is a Venture Capital Firm focused on Mexico and LATAM")</f>
        <v>Ideas &amp; Capital is a Venture Capital Firm focused on Mexico and LATAM</v>
      </c>
      <c r="P190" s="1"/>
      <c r="Q190" s="1"/>
      <c r="R190" s="1"/>
      <c r="S190" s="1"/>
      <c r="T190" s="1"/>
      <c r="U190" s="1"/>
      <c r="V190" s="1"/>
      <c r="W190" s="1"/>
      <c r="X190" s="1"/>
      <c r="Y190" s="1"/>
      <c r="Z190" s="1"/>
    </row>
    <row r="191">
      <c r="A191" s="1" t="str">
        <f>IFERROR(__xludf.DUMMYFUNCTION("""COMPUTED_VALUE"""),"IFC - International Finance Corporation")</f>
        <v>IFC - International Finance Corporation</v>
      </c>
      <c r="B191" s="1" t="str">
        <f>IFERROR(__xludf.DUMMYFUNCTION("""COMPUTED_VALUE"""),"Venture Capital Fund")</f>
        <v>Venture Capital Fund</v>
      </c>
      <c r="C191" s="7" t="str">
        <f>IFERROR(__xludf.DUMMYFUNCTION("""COMPUTED_VALUE"""),"https://www.ifc.org/")</f>
        <v>https://www.ifc.org/</v>
      </c>
      <c r="D191" s="1"/>
      <c r="E191" s="1"/>
      <c r="F191" s="1"/>
      <c r="G191" s="1"/>
      <c r="H191" s="1" t="str">
        <f>IFERROR(__xludf.DUMMYFUNCTION("""COMPUTED_VALUE"""),"Y")</f>
        <v>Y</v>
      </c>
      <c r="I191" s="1" t="str">
        <f>IFERROR(__xludf.DUMMYFUNCTION("""COMPUTED_VALUE"""),"Y")</f>
        <v>Y</v>
      </c>
      <c r="J191" s="1" t="str">
        <f>IFERROR(__xludf.DUMMYFUNCTION("""COMPUTED_VALUE"""),"Y")</f>
        <v>Y</v>
      </c>
      <c r="K191" s="2"/>
      <c r="L191" s="2"/>
      <c r="M191" s="2"/>
      <c r="N191" s="3"/>
      <c r="O191" s="2" t="str">
        <f>IFERROR(__xludf.DUMMYFUNCTION("""COMPUTED_VALUE"""),"International Finance Corporation is a private equity and venture capital subsidiary focused on the private sector in developing countries.")</f>
        <v>International Finance Corporation is a private equity and venture capital subsidiary focused on the private sector in developing countries.</v>
      </c>
      <c r="P191" s="1"/>
      <c r="Q191" s="1"/>
      <c r="R191" s="1"/>
      <c r="S191" s="1"/>
      <c r="T191" s="1"/>
      <c r="U191" s="1"/>
      <c r="V191" s="1"/>
      <c r="W191" s="1"/>
      <c r="X191" s="1"/>
      <c r="Y191" s="1"/>
      <c r="Z191" s="1"/>
    </row>
    <row r="192">
      <c r="A192" s="1" t="str">
        <f>IFERROR(__xludf.DUMMYFUNCTION("""COMPUTED_VALUE"""),"IGNIA")</f>
        <v>IGNIA</v>
      </c>
      <c r="B192" s="1" t="str">
        <f>IFERROR(__xludf.DUMMYFUNCTION("""COMPUTED_VALUE"""),"Venture Capital Fund")</f>
        <v>Venture Capital Fund</v>
      </c>
      <c r="C192" s="7" t="str">
        <f>IFERROR(__xludf.DUMMYFUNCTION("""COMPUTED_VALUE"""),"http://www.ignia.mx/")</f>
        <v>http://www.ignia.mx/</v>
      </c>
      <c r="D192" s="1" t="str">
        <f>IFERROR(__xludf.DUMMYFUNCTION("""COMPUTED_VALUE"""),"Mexico")</f>
        <v>Mexico</v>
      </c>
      <c r="E192" s="1"/>
      <c r="F192" s="1"/>
      <c r="G192" s="1"/>
      <c r="H192" s="1" t="str">
        <f>IFERROR(__xludf.DUMMYFUNCTION("""COMPUTED_VALUE"""),"Y")</f>
        <v>Y</v>
      </c>
      <c r="I192" s="1"/>
      <c r="J192" s="1"/>
      <c r="K192" s="2"/>
      <c r="L192" s="2"/>
      <c r="M192" s="2"/>
      <c r="N192" s="3"/>
      <c r="O192" s="2" t="str">
        <f>IFERROR(__xludf.DUMMYFUNCTION("""COMPUTED_VALUE"""),"IGNIA is an early-to-late stage venture capital firm that invests in innovative solutions for the emerging middle class in Mexico.")</f>
        <v>IGNIA is an early-to-late stage venture capital firm that invests in innovative solutions for the emerging middle class in Mexico.</v>
      </c>
      <c r="P192" s="1"/>
      <c r="Q192" s="1"/>
      <c r="R192" s="1"/>
      <c r="S192" s="1"/>
      <c r="T192" s="1"/>
      <c r="U192" s="1"/>
      <c r="V192" s="1"/>
      <c r="W192" s="1"/>
      <c r="X192" s="1"/>
      <c r="Y192" s="1"/>
      <c r="Z192" s="1"/>
    </row>
    <row r="193">
      <c r="A193" s="1" t="str">
        <f>IFERROR(__xludf.DUMMYFUNCTION("""COMPUTED_VALUE"""),"IGNIXION")</f>
        <v>IGNIXION</v>
      </c>
      <c r="B193" s="1" t="str">
        <f>IFERROR(__xludf.DUMMYFUNCTION("""COMPUTED_VALUE"""),"Angel Investor Network")</f>
        <v>Angel Investor Network</v>
      </c>
      <c r="C193" s="7" t="str">
        <f>IFERROR(__xludf.DUMMYFUNCTION("""COMPUTED_VALUE"""),"http://www.ignixion.mx/")</f>
        <v>http://www.ignixion.mx/</v>
      </c>
      <c r="D193" s="1" t="str">
        <f>IFERROR(__xludf.DUMMYFUNCTION("""COMPUTED_VALUE"""),"Mexico")</f>
        <v>Mexico</v>
      </c>
      <c r="E193" s="1"/>
      <c r="F193" s="1"/>
      <c r="G193" s="1"/>
      <c r="H193" s="1"/>
      <c r="I193" s="1"/>
      <c r="J193" s="1"/>
      <c r="K193" s="2"/>
      <c r="L193" s="2"/>
      <c r="M193" s="2"/>
      <c r="N193" s="3"/>
      <c r="O193" s="2"/>
      <c r="P193" s="1"/>
      <c r="Q193" s="1"/>
      <c r="R193" s="1"/>
      <c r="S193" s="1"/>
      <c r="T193" s="1"/>
      <c r="U193" s="1"/>
      <c r="V193" s="1"/>
      <c r="W193" s="1"/>
      <c r="X193" s="1"/>
      <c r="Y193" s="1"/>
      <c r="Z193" s="1"/>
    </row>
    <row r="194">
      <c r="A194" s="1" t="str">
        <f>IFERROR(__xludf.DUMMYFUNCTION("""COMPUTED_VALUE"""),"Imagine Business Lab")</f>
        <v>Imagine Business Lab</v>
      </c>
      <c r="B194" s="1" t="str">
        <f>IFERROR(__xludf.DUMMYFUNCTION("""COMPUTED_VALUE"""),"Accelerator")</f>
        <v>Accelerator</v>
      </c>
      <c r="C194" s="7" t="str">
        <f>IFERROR(__xludf.DUMMYFUNCTION("""COMPUTED_VALUE"""),"http://imaginelab.cl/")</f>
        <v>http://imaginelab.cl/</v>
      </c>
      <c r="D194" s="1"/>
      <c r="E194" s="1"/>
      <c r="F194" s="1"/>
      <c r="G194" s="1"/>
      <c r="H194" s="1"/>
      <c r="I194" s="1"/>
      <c r="J194" s="1"/>
      <c r="K194" s="2"/>
      <c r="L194" s="2"/>
      <c r="M194" s="2"/>
      <c r="N194" s="3"/>
      <c r="O194" s="2"/>
      <c r="P194" s="1"/>
      <c r="Q194" s="1"/>
      <c r="R194" s="1"/>
      <c r="S194" s="1"/>
      <c r="T194" s="1"/>
      <c r="U194" s="1"/>
      <c r="V194" s="1"/>
      <c r="W194" s="1"/>
      <c r="X194" s="1"/>
      <c r="Y194" s="1"/>
      <c r="Z194" s="1"/>
    </row>
    <row r="195">
      <c r="A195" s="1" t="str">
        <f>IFERROR(__xludf.DUMMYFUNCTION("""COMPUTED_VALUE"""),"Impacta VC")</f>
        <v>Impacta VC</v>
      </c>
      <c r="B195" s="1" t="str">
        <f>IFERROR(__xludf.DUMMYFUNCTION("""COMPUTED_VALUE"""),"Venture Capital Fund")</f>
        <v>Venture Capital Fund</v>
      </c>
      <c r="C195" s="7" t="str">
        <f>IFERROR(__xludf.DUMMYFUNCTION("""COMPUTED_VALUE"""),"https://www.impacta.vc/")</f>
        <v>https://www.impacta.vc/</v>
      </c>
      <c r="D195" s="1" t="str">
        <f>IFERROR(__xludf.DUMMYFUNCTION("""COMPUTED_VALUE"""),"Chile")</f>
        <v>Chile</v>
      </c>
      <c r="E195" s="1" t="str">
        <f>IFERROR(__xludf.DUMMYFUNCTION("""COMPUTED_VALUE"""),"Latam")</f>
        <v>Latam</v>
      </c>
      <c r="F195" s="1" t="str">
        <f>IFERROR(__xludf.DUMMYFUNCTION("""COMPUTED_VALUE"""),"Y")</f>
        <v>Y</v>
      </c>
      <c r="G195" s="1" t="str">
        <f>IFERROR(__xludf.DUMMYFUNCTION("""COMPUTED_VALUE"""),"Y")</f>
        <v>Y</v>
      </c>
      <c r="H195" s="1"/>
      <c r="I195" s="1"/>
      <c r="J195" s="1"/>
      <c r="K195" s="2" t="str">
        <f>IFERROR(__xludf.DUMMYFUNCTION("""COMPUTED_VALUE"""),"Latam")</f>
        <v>Latam</v>
      </c>
      <c r="L195" s="2" t="str">
        <f>IFERROR(__xludf.DUMMYFUNCTION("""COMPUTED_VALUE"""),"100K -250K USD")</f>
        <v>100K -250K USD</v>
      </c>
      <c r="M195" s="2" t="str">
        <f>IFERROR(__xludf.DUMMYFUNCTION("""COMPUTED_VALUE"""),"Agnostic with social or environmental impact")</f>
        <v>Agnostic with social or environmental impact</v>
      </c>
      <c r="N195" s="3">
        <f>IFERROR(__xludf.DUMMYFUNCTION("""COMPUTED_VALUE"""),1.0E7)</f>
        <v>10000000</v>
      </c>
      <c r="O195" s="2" t="str">
        <f>IFERROR(__xludf.DUMMYFUNCTION("""COMPUTED_VALUE"""),"We are a Investment fund who invest in startups with social or environmental impact")</f>
        <v>We are a Investment fund who invest in startups with social or environmental impact</v>
      </c>
      <c r="P195" s="1"/>
      <c r="Q195" s="1"/>
      <c r="R195" s="1"/>
      <c r="S195" s="1"/>
      <c r="T195" s="1"/>
      <c r="U195" s="1"/>
      <c r="V195" s="1"/>
      <c r="W195" s="1"/>
      <c r="X195" s="1"/>
      <c r="Y195" s="1"/>
      <c r="Z195" s="1"/>
    </row>
    <row r="196">
      <c r="A196" s="1" t="str">
        <f>IFERROR(__xludf.DUMMYFUNCTION("""COMPUTED_VALUE"""),"Imparable Capital")</f>
        <v>Imparable Capital</v>
      </c>
      <c r="B196" s="1" t="str">
        <f>IFERROR(__xludf.DUMMYFUNCTION("""COMPUTED_VALUE"""),"Venture Capital Fund")</f>
        <v>Venture Capital Fund</v>
      </c>
      <c r="C196" s="1"/>
      <c r="D196" s="1"/>
      <c r="E196" s="1"/>
      <c r="F196" s="1" t="str">
        <f>IFERROR(__xludf.DUMMYFUNCTION("""COMPUTED_VALUE"""),"Y")</f>
        <v>Y</v>
      </c>
      <c r="G196" s="1" t="str">
        <f>IFERROR(__xludf.DUMMYFUNCTION("""COMPUTED_VALUE"""),"Y")</f>
        <v>Y</v>
      </c>
      <c r="H196" s="1"/>
      <c r="I196" s="1"/>
      <c r="J196" s="1"/>
      <c r="K196" s="2"/>
      <c r="L196" s="2"/>
      <c r="M196" s="2"/>
      <c r="N196" s="3"/>
      <c r="O196" s="2"/>
      <c r="P196" s="1" t="str">
        <f>IFERROR(__xludf.DUMMYFUNCTION("""COMPUTED_VALUE"""),"Closed")</f>
        <v>Closed</v>
      </c>
      <c r="Q196" s="1"/>
      <c r="R196" s="1"/>
      <c r="S196" s="1"/>
      <c r="T196" s="1"/>
      <c r="U196" s="1"/>
      <c r="V196" s="1"/>
      <c r="W196" s="1"/>
      <c r="X196" s="1"/>
      <c r="Y196" s="1"/>
      <c r="Z196" s="1"/>
    </row>
    <row r="197">
      <c r="A197" s="1" t="str">
        <f>IFERROR(__xludf.DUMMYFUNCTION("""COMPUTED_VALUE"""),"Incubadora Sinergia")</f>
        <v>Incubadora Sinergia</v>
      </c>
      <c r="B197" s="1" t="str">
        <f>IFERROR(__xludf.DUMMYFUNCTION("""COMPUTED_VALUE"""),"Accelerator")</f>
        <v>Accelerator</v>
      </c>
      <c r="C197" s="7" t="str">
        <f>IFERROR(__xludf.DUMMYFUNCTION("""COMPUTED_VALUE"""),"https://sinergia.uy/incubadora/")</f>
        <v>https://sinergia.uy/incubadora/</v>
      </c>
      <c r="D197" s="1"/>
      <c r="E197" s="1"/>
      <c r="F197" s="1"/>
      <c r="G197" s="1"/>
      <c r="H197" s="1"/>
      <c r="I197" s="1"/>
      <c r="J197" s="1"/>
      <c r="K197" s="2"/>
      <c r="L197" s="2"/>
      <c r="M197" s="2"/>
      <c r="N197" s="3"/>
      <c r="O197" s="2"/>
      <c r="P197" s="1"/>
      <c r="Q197" s="1"/>
      <c r="R197" s="1"/>
      <c r="S197" s="1"/>
      <c r="T197" s="1"/>
      <c r="U197" s="1"/>
      <c r="V197" s="1"/>
      <c r="W197" s="1"/>
      <c r="X197" s="1"/>
      <c r="Y197" s="1"/>
      <c r="Z197" s="1"/>
    </row>
    <row r="198">
      <c r="A198" s="1" t="str">
        <f>IFERROR(__xludf.DUMMYFUNCTION("""COMPUTED_VALUE"""),"Incubatec UFRO")</f>
        <v>Incubatec UFRO</v>
      </c>
      <c r="B198" s="1" t="str">
        <f>IFERROR(__xludf.DUMMYFUNCTION("""COMPUTED_VALUE"""),"Accelerator")</f>
        <v>Accelerator</v>
      </c>
      <c r="C198" s="7" t="str">
        <f>IFERROR(__xludf.DUMMYFUNCTION("""COMPUTED_VALUE"""),"https://www.incubatec.cl/")</f>
        <v>https://www.incubatec.cl/</v>
      </c>
      <c r="D198" s="1" t="str">
        <f>IFERROR(__xludf.DUMMYFUNCTION("""COMPUTED_VALUE"""),"Chile")</f>
        <v>Chile</v>
      </c>
      <c r="E198" s="1"/>
      <c r="F198" s="1"/>
      <c r="G198" s="1"/>
      <c r="H198" s="1"/>
      <c r="I198" s="1"/>
      <c r="J198" s="1"/>
      <c r="K198" s="2"/>
      <c r="L198" s="2"/>
      <c r="M198" s="2"/>
      <c r="N198" s="3"/>
      <c r="O198" s="2" t="str">
        <f>IFERROR(__xludf.DUMMYFUNCTION("""COMPUTED_VALUE"""),"Business Incubator at the University of La Frontera. More than 14 years providing entrepreneurship and innovation.")</f>
        <v>Business Incubator at the University of La Frontera. More than 14 years providing entrepreneurship and innovation.</v>
      </c>
      <c r="P198" s="1"/>
      <c r="Q198" s="1"/>
      <c r="R198" s="1"/>
      <c r="S198" s="1"/>
      <c r="T198" s="1"/>
      <c r="U198" s="1"/>
      <c r="V198" s="1"/>
      <c r="W198" s="1"/>
      <c r="X198" s="1"/>
      <c r="Y198" s="1"/>
      <c r="Z198" s="1"/>
    </row>
    <row r="199">
      <c r="A199" s="1" t="str">
        <f>IFERROR(__xludf.DUMMYFUNCTION("""COMPUTED_VALUE"""),"Incutex")</f>
        <v>Incutex</v>
      </c>
      <c r="B199" s="1" t="str">
        <f>IFERROR(__xludf.DUMMYFUNCTION("""COMPUTED_VALUE"""),"Accelerator")</f>
        <v>Accelerator</v>
      </c>
      <c r="C199" s="7" t="str">
        <f>IFERROR(__xludf.DUMMYFUNCTION("""COMPUTED_VALUE"""),"https://www.incutex.com.ar/")</f>
        <v>https://www.incutex.com.ar/</v>
      </c>
      <c r="D199" s="1"/>
      <c r="E199" s="1"/>
      <c r="F199" s="1"/>
      <c r="G199" s="1"/>
      <c r="H199" s="1"/>
      <c r="I199" s="1"/>
      <c r="J199" s="1"/>
      <c r="K199" s="2"/>
      <c r="L199" s="2"/>
      <c r="M199" s="2"/>
      <c r="N199" s="3"/>
      <c r="O199" s="2" t="str">
        <f>IFERROR(__xludf.DUMMYFUNCTION("""COMPUTED_VALUE"""),"We're experienced entrepreneurs looking to support and invest in the most passionate teams.")</f>
        <v>We're experienced entrepreneurs looking to support and invest in the most passionate teams.</v>
      </c>
      <c r="P199" s="1"/>
      <c r="Q199" s="1"/>
      <c r="R199" s="1"/>
      <c r="S199" s="1"/>
      <c r="T199" s="1"/>
      <c r="U199" s="1"/>
      <c r="V199" s="1"/>
      <c r="W199" s="1"/>
      <c r="X199" s="1"/>
      <c r="Y199" s="1"/>
      <c r="Z199" s="1"/>
    </row>
    <row r="200">
      <c r="A200" s="1" t="str">
        <f>IFERROR(__xludf.DUMMYFUNCTION("""COMPUTED_VALUE"""),"Indicator Capital")</f>
        <v>Indicator Capital</v>
      </c>
      <c r="B200" s="1" t="str">
        <f>IFERROR(__xludf.DUMMYFUNCTION("""COMPUTED_VALUE"""),"Venture Capital Fund")</f>
        <v>Venture Capital Fund</v>
      </c>
      <c r="C200" s="7" t="str">
        <f>IFERROR(__xludf.DUMMYFUNCTION("""COMPUTED_VALUE"""),"https://indicatorcapital.com/")</f>
        <v>https://indicatorcapital.com/</v>
      </c>
      <c r="D200" s="1" t="str">
        <f>IFERROR(__xludf.DUMMYFUNCTION("""COMPUTED_VALUE"""),"Brazil")</f>
        <v>Brazil</v>
      </c>
      <c r="E200" s="1"/>
      <c r="F200" s="1"/>
      <c r="G200" s="1"/>
      <c r="H200" s="1"/>
      <c r="I200" s="1"/>
      <c r="J200" s="1"/>
      <c r="K200" s="2"/>
      <c r="L200" s="2"/>
      <c r="M200" s="2"/>
      <c r="N200" s="3"/>
      <c r="O200" s="2" t="str">
        <f>IFERROR(__xludf.DUMMYFUNCTION("""COMPUTED_VALUE"""),"Founded in 2014, Indicator Capital is a Brazilian early-stage venture capital manager, headquartered in São Paulo and present in Silicon Valley. The “equal society”, formed by Derek Lundgren Bittar, Fabio Iunis de Paula and Thomas Lundgren Bittar, works t"&amp;"o promote the convergence between the entrepreneur's dream and the financial return for the investor, tropicalizing the best North American practices for national startups.")</f>
        <v>Founded in 2014, Indicator Capital is a Brazilian early-stage venture capital manager, headquartered in São Paulo and present in Silicon Valley. The “equal society”, formed by Derek Lundgren Bittar, Fabio Iunis de Paula and Thomas Lundgren Bittar, works to promote the convergence between the entrepreneur's dream and the financial return for the investor, tropicalizing the best North American practices for national startups.</v>
      </c>
      <c r="P200" s="1"/>
      <c r="Q200" s="1"/>
      <c r="R200" s="1"/>
      <c r="S200" s="1"/>
      <c r="T200" s="1"/>
      <c r="U200" s="1"/>
      <c r="V200" s="1"/>
      <c r="W200" s="1"/>
      <c r="X200" s="1"/>
      <c r="Y200" s="1"/>
      <c r="Z200" s="1"/>
    </row>
    <row r="201">
      <c r="A201" s="1" t="str">
        <f>IFERROR(__xludf.DUMMYFUNCTION("""COMPUTED_VALUE"""),"Indigo")</f>
        <v>Indigo</v>
      </c>
      <c r="B201" s="1" t="str">
        <f>IFERROR(__xludf.DUMMYFUNCTION("""COMPUTED_VALUE"""),"Private equity and venture capital fund")</f>
        <v>Private equity and venture capital fund</v>
      </c>
      <c r="C201" s="7" t="str">
        <f>IFERROR(__xludf.DUMMYFUNCTION("""COMPUTED_VALUE"""),"www.capitalindigo.com/")</f>
        <v>www.capitalindigo.com/</v>
      </c>
      <c r="D201" s="1"/>
      <c r="E201" s="1"/>
      <c r="F201" s="1"/>
      <c r="G201" s="1"/>
      <c r="H201" s="1"/>
      <c r="I201" s="1"/>
      <c r="J201" s="1" t="str">
        <f>IFERROR(__xludf.DUMMYFUNCTION("""COMPUTED_VALUE"""),"Y")</f>
        <v>Y</v>
      </c>
      <c r="K201" s="2"/>
      <c r="L201" s="2"/>
      <c r="M201" s="2"/>
      <c r="N201" s="3"/>
      <c r="O201" s="2" t="str">
        <f>IFERROR(__xludf.DUMMYFUNCTION("""COMPUTED_VALUE"""),"Indigo uses natural microbiology and digital technologies to improve grower profitability, sustainability, and consumer health.")</f>
        <v>Indigo uses natural microbiology and digital technologies to improve grower profitability, sustainability, and consumer health.</v>
      </c>
      <c r="P201" s="1"/>
      <c r="Q201" s="1"/>
      <c r="R201" s="1"/>
      <c r="S201" s="1"/>
      <c r="T201" s="1"/>
      <c r="U201" s="1"/>
      <c r="V201" s="1"/>
      <c r="W201" s="1"/>
      <c r="X201" s="1"/>
      <c r="Y201" s="1"/>
      <c r="Z201" s="1"/>
    </row>
    <row r="202">
      <c r="A202" s="1" t="str">
        <f>IFERROR(__xludf.DUMMYFUNCTION("""COMPUTED_VALUE"""),"Ingenio")</f>
        <v>Ingenio</v>
      </c>
      <c r="B202" s="1" t="str">
        <f>IFERROR(__xludf.DUMMYFUNCTION("""COMPUTED_VALUE"""),"Accelerator")</f>
        <v>Accelerator</v>
      </c>
      <c r="C202" s="7" t="str">
        <f>IFERROR(__xludf.DUMMYFUNCTION("""COMPUTED_VALUE"""),"http://www.ingenio.org.uy/")</f>
        <v>http://www.ingenio.org.uy/</v>
      </c>
      <c r="D202" s="1" t="str">
        <f>IFERROR(__xludf.DUMMYFUNCTION("""COMPUTED_VALUE"""),"Uruguay")</f>
        <v>Uruguay</v>
      </c>
      <c r="E202" s="1"/>
      <c r="F202" s="1"/>
      <c r="G202" s="1"/>
      <c r="H202" s="1"/>
      <c r="I202" s="1"/>
      <c r="J202" s="1"/>
      <c r="K202" s="2"/>
      <c r="L202" s="2"/>
      <c r="M202" s="2"/>
      <c r="N202" s="3"/>
      <c r="O202" s="2" t="str">
        <f>IFERROR(__xludf.DUMMYFUNCTION("""COMPUTED_VALUE"""),"Ingenio is an incubator of innovative companies with high added value belonging to LATU (Technological Laboratory of Uruguay)")</f>
        <v>Ingenio is an incubator of innovative companies with high added value belonging to LATU (Technological Laboratory of Uruguay)</v>
      </c>
      <c r="P202" s="1"/>
      <c r="Q202" s="1"/>
      <c r="R202" s="1"/>
      <c r="S202" s="1"/>
      <c r="T202" s="1"/>
      <c r="U202" s="1"/>
      <c r="V202" s="1"/>
      <c r="W202" s="1"/>
      <c r="X202" s="1"/>
      <c r="Y202" s="1"/>
      <c r="Z202" s="1"/>
    </row>
    <row r="203">
      <c r="A203" s="1" t="str">
        <f>IFERROR(__xludf.DUMMYFUNCTION("""COMPUTED_VALUE"""),"Innogen Capital Ventures")</f>
        <v>Innogen Capital Ventures</v>
      </c>
      <c r="B203" s="1" t="str">
        <f>IFERROR(__xludf.DUMMYFUNCTION("""COMPUTED_VALUE"""),"Venture Capital Fund")</f>
        <v>Venture Capital Fund</v>
      </c>
      <c r="C203" s="7" t="str">
        <f>IFERROR(__xludf.DUMMYFUNCTION("""COMPUTED_VALUE"""),"https://innogenholdings.com/")</f>
        <v>https://innogenholdings.com/</v>
      </c>
      <c r="D203" s="1" t="str">
        <f>IFERROR(__xludf.DUMMYFUNCTION("""COMPUTED_VALUE"""),"El Salvador")</f>
        <v>El Salvador</v>
      </c>
      <c r="E203" s="1"/>
      <c r="F203" s="1"/>
      <c r="G203" s="1"/>
      <c r="H203" s="1"/>
      <c r="I203" s="1"/>
      <c r="J203" s="1"/>
      <c r="K203" s="2"/>
      <c r="L203" s="2"/>
      <c r="M203" s="2"/>
      <c r="N203" s="3"/>
      <c r="O203" s="2" t="str">
        <f>IFERROR(__xludf.DUMMYFUNCTION("""COMPUTED_VALUE"""),"Innogen Capital is a venture capital fund that invests in early-stage and growth companies.")</f>
        <v>Innogen Capital is a venture capital fund that invests in early-stage and growth companies.</v>
      </c>
      <c r="P203" s="1"/>
      <c r="Q203" s="1"/>
      <c r="R203" s="1"/>
      <c r="S203" s="1"/>
      <c r="T203" s="1"/>
      <c r="U203" s="1"/>
      <c r="V203" s="1"/>
      <c r="W203" s="1"/>
      <c r="X203" s="1"/>
      <c r="Y203" s="1"/>
      <c r="Z203" s="1"/>
    </row>
    <row r="204">
      <c r="A204" s="1" t="str">
        <f>IFERROR(__xludf.DUMMYFUNCTION("""COMPUTED_VALUE"""),"Innovateur")</f>
        <v>Innovateur</v>
      </c>
      <c r="B204" s="1" t="str">
        <f>IFERROR(__xludf.DUMMYFUNCTION("""COMPUTED_VALUE"""),"Venture Capital Fund")</f>
        <v>Venture Capital Fund</v>
      </c>
      <c r="C204" s="7" t="str">
        <f>IFERROR(__xludf.DUMMYFUNCTION("""COMPUTED_VALUE"""),"www.innovateurcapital.com.mx/index.php/es/")</f>
        <v>www.innovateurcapital.com.mx/index.php/es/</v>
      </c>
      <c r="D204" s="1"/>
      <c r="E204" s="1"/>
      <c r="F204" s="1"/>
      <c r="G204" s="1" t="str">
        <f>IFERROR(__xludf.DUMMYFUNCTION("""COMPUTED_VALUE"""),"Y")</f>
        <v>Y</v>
      </c>
      <c r="H204" s="1"/>
      <c r="I204" s="1"/>
      <c r="J204" s="1"/>
      <c r="K204" s="2"/>
      <c r="L204" s="2"/>
      <c r="M204" s="2"/>
      <c r="N204" s="3"/>
      <c r="O204" s="2" t="str">
        <f>IFERROR(__xludf.DUMMYFUNCTION("""COMPUTED_VALUE"""),"We are a Capital Fund focused on making investments in early stages")</f>
        <v>We are a Capital Fund focused on making investments in early stages</v>
      </c>
      <c r="P204" s="1"/>
      <c r="Q204" s="1"/>
      <c r="R204" s="1"/>
      <c r="S204" s="1"/>
      <c r="T204" s="1"/>
      <c r="U204" s="1"/>
      <c r="V204" s="1"/>
      <c r="W204" s="1"/>
      <c r="X204" s="1"/>
      <c r="Y204" s="1"/>
      <c r="Z204" s="1"/>
    </row>
    <row r="205">
      <c r="A205" s="1" t="str">
        <f>IFERROR(__xludf.DUMMYFUNCTION("""COMPUTED_VALUE"""),"inQlab")</f>
        <v>inQlab</v>
      </c>
      <c r="B205" s="1" t="str">
        <f>IFERROR(__xludf.DUMMYFUNCTION("""COMPUTED_VALUE"""),"Venture Capital")</f>
        <v>Venture Capital</v>
      </c>
      <c r="C205" s="7" t="str">
        <f>IFERROR(__xludf.DUMMYFUNCTION("""COMPUTED_VALUE"""),"http://inqlab.co/")</f>
        <v>http://inqlab.co/</v>
      </c>
      <c r="D205" s="1" t="str">
        <f>IFERROR(__xludf.DUMMYFUNCTION("""COMPUTED_VALUE"""),"Colombia")</f>
        <v>Colombia</v>
      </c>
      <c r="E205" s="1"/>
      <c r="F205" s="1"/>
      <c r="G205" s="1"/>
      <c r="H205" s="1"/>
      <c r="I205" s="1"/>
      <c r="J205" s="1"/>
      <c r="K205" s="2"/>
      <c r="L205" s="2"/>
      <c r="M205" s="2"/>
      <c r="N205" s="3"/>
      <c r="O205" s="2" t="str">
        <f>IFERROR(__xludf.DUMMYFUNCTION("""COMPUTED_VALUE"""),"Venture Builder / Incubator. Inqlab focuses on developing successful business models for early stage projects within the digital arena")</f>
        <v>Venture Builder / Incubator. Inqlab focuses on developing successful business models for early stage projects within the digital arena</v>
      </c>
      <c r="P205" s="1"/>
      <c r="Q205" s="1"/>
      <c r="R205" s="1"/>
      <c r="S205" s="1"/>
      <c r="T205" s="1"/>
      <c r="U205" s="1"/>
      <c r="V205" s="1"/>
      <c r="W205" s="1"/>
      <c r="X205" s="1"/>
      <c r="Y205" s="1"/>
      <c r="Z205" s="1"/>
    </row>
    <row r="206">
      <c r="A206" s="1" t="str">
        <f>IFERROR(__xludf.DUMMYFUNCTION("""COMPUTED_VALUE"""),"Invariantes Fund")</f>
        <v>Invariantes Fund</v>
      </c>
      <c r="B206" s="1" t="str">
        <f>IFERROR(__xludf.DUMMYFUNCTION("""COMPUTED_VALUE"""),"Venture Capital Fund")</f>
        <v>Venture Capital Fund</v>
      </c>
      <c r="C206" s="7" t="str">
        <f>IFERROR(__xludf.DUMMYFUNCTION("""COMPUTED_VALUE"""),"http://invariantes.com/")</f>
        <v>http://invariantes.com/</v>
      </c>
      <c r="D206" s="1" t="str">
        <f>IFERROR(__xludf.DUMMYFUNCTION("""COMPUTED_VALUE"""),"Guatemala")</f>
        <v>Guatemala</v>
      </c>
      <c r="E206" s="1"/>
      <c r="F206" s="1"/>
      <c r="G206" s="1"/>
      <c r="H206" s="1"/>
      <c r="I206" s="1"/>
      <c r="J206" s="1"/>
      <c r="K206" s="2"/>
      <c r="L206" s="2"/>
      <c r="M206" s="2"/>
      <c r="N206" s="3"/>
      <c r="O206" s="2" t="str">
        <f>IFERROR(__xludf.DUMMYFUNCTION("""COMPUTED_VALUE"""),"Guatemala's first, homegrown, early-stage venture fund.")</f>
        <v>Guatemala's first, homegrown, early-stage venture fund.</v>
      </c>
      <c r="P206" s="1"/>
      <c r="Q206" s="1"/>
      <c r="R206" s="1"/>
      <c r="S206" s="1"/>
      <c r="T206" s="1"/>
      <c r="U206" s="1"/>
      <c r="V206" s="1"/>
      <c r="W206" s="1"/>
      <c r="X206" s="1"/>
      <c r="Y206" s="1"/>
      <c r="Z206" s="1"/>
    </row>
    <row r="207">
      <c r="A207" s="1" t="str">
        <f>IFERROR(__xludf.DUMMYFUNCTION("""COMPUTED_VALUE"""),"Invermaster")</f>
        <v>Invermaster</v>
      </c>
      <c r="B207" s="1" t="str">
        <f>IFERROR(__xludf.DUMMYFUNCTION("""COMPUTED_VALUE"""),"Venture Capital Fund")</f>
        <v>Venture Capital Fund</v>
      </c>
      <c r="C207" s="7" t="str">
        <f>IFERROR(__xludf.DUMMYFUNCTION("""COMPUTED_VALUE"""),"https://www.invermaster.com/")</f>
        <v>https://www.invermaster.com/</v>
      </c>
      <c r="D207" s="1" t="str">
        <f>IFERROR(__xludf.DUMMYFUNCTION("""COMPUTED_VALUE"""),"United States of America")</f>
        <v>United States of America</v>
      </c>
      <c r="E207" s="1"/>
      <c r="F207" s="1"/>
      <c r="G207" s="1"/>
      <c r="H207" s="1"/>
      <c r="I207" s="1"/>
      <c r="J207" s="1"/>
      <c r="K207" s="2"/>
      <c r="L207" s="2"/>
      <c r="M207" s="2"/>
      <c r="N207" s="3"/>
      <c r="O207" s="2" t="str">
        <f>IFERROR(__xludf.DUMMYFUNCTION("""COMPUTED_VALUE"""),"Venture Capital and Investment Banking Boutique")</f>
        <v>Venture Capital and Investment Banking Boutique</v>
      </c>
      <c r="P207" s="1"/>
      <c r="Q207" s="1"/>
      <c r="R207" s="1"/>
      <c r="S207" s="1"/>
      <c r="T207" s="1"/>
      <c r="U207" s="1"/>
      <c r="V207" s="1"/>
      <c r="W207" s="1"/>
      <c r="X207" s="1"/>
      <c r="Y207" s="1"/>
      <c r="Z207" s="1"/>
    </row>
    <row r="208">
      <c r="A208" s="1" t="str">
        <f>IFERROR(__xludf.DUMMYFUNCTION("""COMPUTED_VALUE"""),"Invermaster Ventures")</f>
        <v>Invermaster Ventures</v>
      </c>
      <c r="B208" s="1" t="str">
        <f>IFERROR(__xludf.DUMMYFUNCTION("""COMPUTED_VALUE"""),"Venture Capital Fund")</f>
        <v>Venture Capital Fund</v>
      </c>
      <c r="C208" s="7" t="str">
        <f>IFERROR(__xludf.DUMMYFUNCTION("""COMPUTED_VALUE"""),"http://invermaster.com/")</f>
        <v>http://invermaster.com/</v>
      </c>
      <c r="D208" s="1" t="str">
        <f>IFERROR(__xludf.DUMMYFUNCTION("""COMPUTED_VALUE"""),"Costa Rica")</f>
        <v>Costa Rica</v>
      </c>
      <c r="E208" s="1"/>
      <c r="F208" s="1"/>
      <c r="G208" s="1"/>
      <c r="H208" s="1"/>
      <c r="I208" s="1"/>
      <c r="J208" s="1"/>
      <c r="K208" s="2"/>
      <c r="L208" s="2"/>
      <c r="M208" s="2"/>
      <c r="N208" s="3"/>
      <c r="O208" s="2" t="str">
        <f>IFERROR(__xludf.DUMMYFUNCTION("""COMPUTED_VALUE"""),"Managing Director of Invermaster Ventures and Partner at CoreCo Private Equity")</f>
        <v>Managing Director of Invermaster Ventures and Partner at CoreCo Private Equity</v>
      </c>
      <c r="P208" s="1"/>
      <c r="Q208" s="1"/>
      <c r="R208" s="1"/>
      <c r="S208" s="1"/>
      <c r="T208" s="1"/>
      <c r="U208" s="1"/>
      <c r="V208" s="1"/>
      <c r="W208" s="1"/>
      <c r="X208" s="1"/>
      <c r="Y208" s="1"/>
      <c r="Z208" s="1"/>
    </row>
    <row r="209">
      <c r="A209" s="1" t="str">
        <f>IFERROR(__xludf.DUMMYFUNCTION("""COMPUTED_VALUE"""),"Inversor")</f>
        <v>Inversor</v>
      </c>
      <c r="B209" s="1" t="str">
        <f>IFERROR(__xludf.DUMMYFUNCTION("""COMPUTED_VALUE"""),"Venture Capital Fund")</f>
        <v>Venture Capital Fund</v>
      </c>
      <c r="C209" s="7" t="str">
        <f>IFERROR(__xludf.DUMMYFUNCTION("""COMPUTED_VALUE"""),"http://www.inversor.org.co/")</f>
        <v>http://www.inversor.org.co/</v>
      </c>
      <c r="D209" s="1" t="str">
        <f>IFERROR(__xludf.DUMMYFUNCTION("""COMPUTED_VALUE"""),"Colombia")</f>
        <v>Colombia</v>
      </c>
      <c r="E209" s="1"/>
      <c r="F209" s="1"/>
      <c r="G209" s="1"/>
      <c r="H209" s="1"/>
      <c r="I209" s="1"/>
      <c r="J209" s="1"/>
      <c r="K209" s="2"/>
      <c r="L209" s="2"/>
      <c r="M209" s="2"/>
      <c r="N209" s="3"/>
      <c r="O209" s="2" t="str">
        <f>IFERROR(__xludf.DUMMYFUNCTION("""COMPUTED_VALUE"""),"Inversor has as its main objective the generation of economic value for its investors while having a positive and significant social and environmental impact. In line with this objective and in the spirit with which the Fund was initially structured,")</f>
        <v>Inversor has as its main objective the generation of economic value for its investors while having a positive and significant social and environmental impact. In line with this objective and in the spirit with which the Fund was initially structured,</v>
      </c>
      <c r="P209" s="1"/>
      <c r="Q209" s="1"/>
      <c r="R209" s="1"/>
      <c r="S209" s="1"/>
      <c r="T209" s="1"/>
      <c r="U209" s="1"/>
      <c r="V209" s="1"/>
      <c r="W209" s="1"/>
      <c r="X209" s="1"/>
      <c r="Y209" s="1"/>
      <c r="Z209" s="1"/>
    </row>
    <row r="210">
      <c r="A210" s="1" t="str">
        <f>IFERROR(__xludf.DUMMYFUNCTION("""COMPUTED_VALUE"""),"Investo")</f>
        <v>Investo</v>
      </c>
      <c r="B210" s="1" t="str">
        <f>IFERROR(__xludf.DUMMYFUNCTION("""COMPUTED_VALUE"""),"Venture Capital Fund")</f>
        <v>Venture Capital Fund</v>
      </c>
      <c r="C210" s="7" t="str">
        <f>IFERROR(__xludf.DUMMYFUNCTION("""COMPUTED_VALUE"""),"https://www.investovc.com/")</f>
        <v>https://www.investovc.com/</v>
      </c>
      <c r="D210" s="1" t="str">
        <f>IFERROR(__xludf.DUMMYFUNCTION("""COMPUTED_VALUE"""),"Mexico")</f>
        <v>Mexico</v>
      </c>
      <c r="E210" s="1" t="str">
        <f>IFERROR(__xludf.DUMMYFUNCTION("""COMPUTED_VALUE"""),"LATAM")</f>
        <v>LATAM</v>
      </c>
      <c r="F210" s="1" t="str">
        <f>IFERROR(__xludf.DUMMYFUNCTION("""COMPUTED_VALUE"""),"Y")</f>
        <v>Y</v>
      </c>
      <c r="G210" s="1" t="str">
        <f>IFERROR(__xludf.DUMMYFUNCTION("""COMPUTED_VALUE"""),"Y")</f>
        <v>Y</v>
      </c>
      <c r="H210" s="1"/>
      <c r="I210" s="1"/>
      <c r="J210" s="1"/>
      <c r="K210" s="2" t="str">
        <f>IFERROR(__xludf.DUMMYFUNCTION("""COMPUTED_VALUE"""),"LATAM")</f>
        <v>LATAM</v>
      </c>
      <c r="L210" s="2"/>
      <c r="M210" s="2"/>
      <c r="N210" s="3"/>
      <c r="O210" s="2" t="str">
        <f>IFERROR(__xludf.DUMMYFUNCTION("""COMPUTED_VALUE"""),"Seed capital firm based in San Francisco and Mexico City.")</f>
        <v>Seed capital firm based in San Francisco and Mexico City.</v>
      </c>
      <c r="P210" s="1"/>
      <c r="Q210" s="1"/>
      <c r="R210" s="1"/>
      <c r="S210" s="1"/>
      <c r="T210" s="1"/>
      <c r="U210" s="1"/>
      <c r="V210" s="1"/>
      <c r="W210" s="1"/>
      <c r="X210" s="1"/>
      <c r="Y210" s="1"/>
      <c r="Z210" s="1"/>
    </row>
    <row r="211">
      <c r="A211" s="1" t="str">
        <f>IFERROR(__xludf.DUMMYFUNCTION("""COMPUTED_VALUE"""),"Iporanga Investimentos")</f>
        <v>Iporanga Investimentos</v>
      </c>
      <c r="B211" s="1" t="str">
        <f>IFERROR(__xludf.DUMMYFUNCTION("""COMPUTED_VALUE"""),"Venture Capital Fund")</f>
        <v>Venture Capital Fund</v>
      </c>
      <c r="C211" s="7" t="str">
        <f>IFERROR(__xludf.DUMMYFUNCTION("""COMPUTED_VALUE"""),"https://www.ipo.ventures/")</f>
        <v>https://www.ipo.ventures/</v>
      </c>
      <c r="D211" s="1" t="str">
        <f>IFERROR(__xludf.DUMMYFUNCTION("""COMPUTED_VALUE"""),"Brazil")</f>
        <v>Brazil</v>
      </c>
      <c r="E211" s="1"/>
      <c r="F211" s="1"/>
      <c r="G211" s="1"/>
      <c r="H211" s="1"/>
      <c r="I211" s="1"/>
      <c r="J211" s="1"/>
      <c r="K211" s="2"/>
      <c r="L211" s="2"/>
      <c r="M211" s="2"/>
      <c r="N211" s="3"/>
      <c r="O211" s="2" t="str">
        <f>IFERROR(__xludf.DUMMYFUNCTION("""COMPUTED_VALUE"""),"Iporanga Ventures is venture capital funds management company, focused on Pre-Seed/Seed stage Brazilian startups.")</f>
        <v>Iporanga Ventures is venture capital funds management company, focused on Pre-Seed/Seed stage Brazilian startups.</v>
      </c>
      <c r="P211" s="1"/>
      <c r="Q211" s="1"/>
      <c r="R211" s="1"/>
      <c r="S211" s="1"/>
      <c r="T211" s="1"/>
      <c r="U211" s="1"/>
      <c r="V211" s="1"/>
      <c r="W211" s="1"/>
      <c r="X211" s="1"/>
      <c r="Y211" s="1"/>
      <c r="Z211" s="1"/>
    </row>
    <row r="212">
      <c r="A212" s="1" t="str">
        <f>IFERROR(__xludf.DUMMYFUNCTION("""COMPUTED_VALUE"""),"Itera Capital (Grupo CYC)")</f>
        <v>Itera Capital (Grupo CYC)</v>
      </c>
      <c r="B212" s="1" t="str">
        <f>IFERROR(__xludf.DUMMYFUNCTION("""COMPUTED_VALUE"""),"Venture Capital Fund")</f>
        <v>Venture Capital Fund</v>
      </c>
      <c r="C212" s="7" t="str">
        <f>IFERROR(__xludf.DUMMYFUNCTION("""COMPUTED_VALUE"""),"www.iteracapital.com")</f>
        <v>www.iteracapital.com</v>
      </c>
      <c r="D212" s="1" t="str">
        <f>IFERROR(__xludf.DUMMYFUNCTION("""COMPUTED_VALUE"""),"Mexico")</f>
        <v>Mexico</v>
      </c>
      <c r="E212" s="1"/>
      <c r="F212" s="1"/>
      <c r="G212" s="1"/>
      <c r="H212" s="1"/>
      <c r="I212" s="1"/>
      <c r="J212" s="1"/>
      <c r="K212" s="2"/>
      <c r="L212" s="2"/>
      <c r="M212" s="2"/>
      <c r="N212" s="3"/>
      <c r="O212" s="2" t="str">
        <f>IFERROR(__xludf.DUMMYFUNCTION("""COMPUTED_VALUE"""),"Itera Capital is a Venture Capital investment fund that supports early-stage companies.")</f>
        <v>Itera Capital is a Venture Capital investment fund that supports early-stage companies.</v>
      </c>
      <c r="P212" s="1"/>
      <c r="Q212" s="1"/>
      <c r="R212" s="1"/>
      <c r="S212" s="1"/>
      <c r="T212" s="1"/>
      <c r="U212" s="1"/>
      <c r="V212" s="1"/>
      <c r="W212" s="1"/>
      <c r="X212" s="1"/>
      <c r="Y212" s="1"/>
      <c r="Z212" s="1"/>
    </row>
    <row r="213">
      <c r="A213" s="1" t="str">
        <f>IFERROR(__xludf.DUMMYFUNCTION("""COMPUTED_VALUE"""),"Jaguar Growth Partners")</f>
        <v>Jaguar Growth Partners</v>
      </c>
      <c r="B213" s="1" t="str">
        <f>IFERROR(__xludf.DUMMYFUNCTION("""COMPUTED_VALUE"""),"Venture Capital Fund")</f>
        <v>Venture Capital Fund</v>
      </c>
      <c r="C213" s="7" t="str">
        <f>IFERROR(__xludf.DUMMYFUNCTION("""COMPUTED_VALUE"""),"http://jaguargrowth.com/")</f>
        <v>http://jaguargrowth.com/</v>
      </c>
      <c r="D213" s="1" t="str">
        <f>IFERROR(__xludf.DUMMYFUNCTION("""COMPUTED_VALUE"""),"United States of America")</f>
        <v>United States of America</v>
      </c>
      <c r="E213" s="1"/>
      <c r="F213" s="1"/>
      <c r="G213" s="1"/>
      <c r="H213" s="1"/>
      <c r="I213" s="1"/>
      <c r="J213" s="1"/>
      <c r="K213" s="2"/>
      <c r="L213" s="2"/>
      <c r="M213" s="2"/>
      <c r="N213" s="3"/>
      <c r="O213" s="2" t="str">
        <f>IFERROR(__xludf.DUMMYFUNCTION("""COMPUTED_VALUE"""),"Jaguar is headquartered in New York with investment offices in Sao Paulo and Mexico City and affiliated offices in Amsterdam and Singapore. Jaguar’s local presence is essential and differentiating")</f>
        <v>Jaguar is headquartered in New York with investment offices in Sao Paulo and Mexico City and affiliated offices in Amsterdam and Singapore. Jaguar’s local presence is essential and differentiating</v>
      </c>
      <c r="P213" s="1"/>
      <c r="Q213" s="1"/>
      <c r="R213" s="1"/>
      <c r="S213" s="1"/>
      <c r="T213" s="1"/>
      <c r="U213" s="1"/>
      <c r="V213" s="1"/>
      <c r="W213" s="1"/>
      <c r="X213" s="1"/>
      <c r="Y213" s="1"/>
      <c r="Z213" s="1"/>
    </row>
    <row r="214">
      <c r="A214" s="1" t="str">
        <f>IFERROR(__xludf.DUMMYFUNCTION("""COMPUTED_VALUE"""),"Jaguar Ventures")</f>
        <v>Jaguar Ventures</v>
      </c>
      <c r="B214" s="1" t="str">
        <f>IFERROR(__xludf.DUMMYFUNCTION("""COMPUTED_VALUE"""),"Venture Capital Fund")</f>
        <v>Venture Capital Fund</v>
      </c>
      <c r="C214" s="7" t="str">
        <f>IFERROR(__xludf.DUMMYFUNCTION("""COMPUTED_VALUE"""),"https://www.jaguarvc.com/")</f>
        <v>https://www.jaguarvc.com/</v>
      </c>
      <c r="D214" s="1" t="str">
        <f>IFERROR(__xludf.DUMMYFUNCTION("""COMPUTED_VALUE"""),"Mexico")</f>
        <v>Mexico</v>
      </c>
      <c r="E214" s="1"/>
      <c r="F214" s="1"/>
      <c r="G214" s="1" t="str">
        <f>IFERROR(__xludf.DUMMYFUNCTION("""COMPUTED_VALUE"""),"Y")</f>
        <v>Y</v>
      </c>
      <c r="H214" s="1" t="str">
        <f>IFERROR(__xludf.DUMMYFUNCTION("""COMPUTED_VALUE"""),"Y")</f>
        <v>Y</v>
      </c>
      <c r="I214" s="1"/>
      <c r="J214" s="1"/>
      <c r="K214" s="2"/>
      <c r="L214" s="2" t="str">
        <f>IFERROR(__xludf.DUMMYFUNCTION("""COMPUTED_VALUE"""),"500k")</f>
        <v>500k</v>
      </c>
      <c r="M214" s="2"/>
      <c r="N214" s="3"/>
      <c r="O214" s="2" t="str">
        <f>IFERROR(__xludf.DUMMYFUNCTION("""COMPUTED_VALUE"""),"Jaguar Ventures is a venture capital firm that seeks to invest in firms operating in the technology sector.")</f>
        <v>Jaguar Ventures is a venture capital firm that seeks to invest in firms operating in the technology sector.</v>
      </c>
      <c r="P214" s="1"/>
      <c r="Q214" s="1"/>
      <c r="R214" s="1"/>
      <c r="S214" s="1"/>
      <c r="T214" s="1"/>
      <c r="U214" s="1"/>
      <c r="V214" s="1"/>
      <c r="W214" s="1"/>
      <c r="X214" s="1"/>
      <c r="Y214" s="1"/>
      <c r="Z214" s="1"/>
    </row>
    <row r="215">
      <c r="A215" s="1" t="str">
        <f>IFERROR(__xludf.DUMMYFUNCTION("""COMPUTED_VALUE"""),"Jefferies Group")</f>
        <v>Jefferies Group</v>
      </c>
      <c r="B215" s="1" t="str">
        <f>IFERROR(__xludf.DUMMYFUNCTION("""COMPUTED_VALUE"""),"Financial Investment Management")</f>
        <v>Financial Investment Management</v>
      </c>
      <c r="C215" s="7" t="str">
        <f>IFERROR(__xludf.DUMMYFUNCTION("""COMPUTED_VALUE"""),"http://www.jefferies.com/")</f>
        <v>http://www.jefferies.com/</v>
      </c>
      <c r="D215" s="1" t="str">
        <f>IFERROR(__xludf.DUMMYFUNCTION("""COMPUTED_VALUE"""),"United States of America")</f>
        <v>United States of America</v>
      </c>
      <c r="E215" s="1"/>
      <c r="F215" s="1"/>
      <c r="G215" s="1"/>
      <c r="H215" s="1" t="str">
        <f>IFERROR(__xludf.DUMMYFUNCTION("""COMPUTED_VALUE"""),"Y")</f>
        <v>Y</v>
      </c>
      <c r="I215" s="1" t="str">
        <f>IFERROR(__xludf.DUMMYFUNCTION("""COMPUTED_VALUE"""),"Y")</f>
        <v>Y</v>
      </c>
      <c r="J215" s="1"/>
      <c r="K215" s="2"/>
      <c r="L215" s="2"/>
      <c r="M215" s="2"/>
      <c r="N215" s="3"/>
      <c r="O215" s="2" t="str">
        <f>IFERROR(__xludf.DUMMYFUNCTION("""COMPUTED_VALUE"""),"Jefferies provides research and execution services in equity, fixed income, and foreign exchange markets.
")</f>
        <v>Jefferies provides research and execution services in equity, fixed income, and foreign exchange markets.
</v>
      </c>
      <c r="P215" s="1"/>
      <c r="Q215" s="1"/>
      <c r="R215" s="1"/>
      <c r="S215" s="1"/>
      <c r="T215" s="1"/>
      <c r="U215" s="1"/>
      <c r="V215" s="1"/>
      <c r="W215" s="1"/>
      <c r="X215" s="1"/>
      <c r="Y215" s="1"/>
      <c r="Z215" s="1"/>
    </row>
    <row r="216">
      <c r="A216" s="1" t="str">
        <f>IFERROR(__xludf.DUMMYFUNCTION("""COMPUTED_VALUE"""),"JUMP BRASIL")</f>
        <v>JUMP BRASIL</v>
      </c>
      <c r="B216" s="1" t="str">
        <f>IFERROR(__xludf.DUMMYFUNCTION("""COMPUTED_VALUE"""),"Accelerator")</f>
        <v>Accelerator</v>
      </c>
      <c r="C216" s="7" t="str">
        <f>IFERROR(__xludf.DUMMYFUNCTION("""COMPUTED_VALUE"""),"http://jumpbrasil.com/")</f>
        <v>http://jumpbrasil.com/</v>
      </c>
      <c r="D216" s="1" t="str">
        <f>IFERROR(__xludf.DUMMYFUNCTION("""COMPUTED_VALUE"""),"Brazil")</f>
        <v>Brazil</v>
      </c>
      <c r="E216" s="1" t="str">
        <f>IFERROR(__xludf.DUMMYFUNCTION("""COMPUTED_VALUE"""),"Brazil")</f>
        <v>Brazil</v>
      </c>
      <c r="F216" s="1"/>
      <c r="G216" s="1"/>
      <c r="H216" s="1"/>
      <c r="I216" s="1"/>
      <c r="J216" s="1"/>
      <c r="K216" s="2" t="str">
        <f>IFERROR(__xludf.DUMMYFUNCTION("""COMPUTED_VALUE"""),"Brazil")</f>
        <v>Brazil</v>
      </c>
      <c r="L216" s="2"/>
      <c r="M216" s="2"/>
      <c r="N216" s="3"/>
      <c r="O216" s="2" t="str">
        <f>IFERROR(__xludf.DUMMYFUNCTION("""COMPUTED_VALUE"""),"Porto Digital is one of the main technological parks in Brazil and has been considered three times (2007, 2011 and 2015) by the National Association of Entities Promoting Innovative Enterprises (Anprotec), the best technological park / space for innovatio"&amp;"n in the country.")</f>
        <v>Porto Digital is one of the main technological parks in Brazil and has been considered three times (2007, 2011 and 2015) by the National Association of Entities Promoting Innovative Enterprises (Anprotec), the best technological park / space for innovation in the country.</v>
      </c>
      <c r="P216" s="1"/>
      <c r="Q216" s="1"/>
      <c r="R216" s="1"/>
      <c r="S216" s="1"/>
      <c r="T216" s="1"/>
      <c r="U216" s="1"/>
      <c r="V216" s="1"/>
      <c r="W216" s="1"/>
      <c r="X216" s="1"/>
      <c r="Y216" s="1"/>
      <c r="Z216" s="1"/>
    </row>
    <row r="217">
      <c r="A217" s="1" t="str">
        <f>IFERROR(__xludf.DUMMYFUNCTION("""COMPUTED_VALUE"""),"Kalei Ventures")</f>
        <v>Kalei Ventures</v>
      </c>
      <c r="B217" s="1" t="str">
        <f>IFERROR(__xludf.DUMMYFUNCTION("""COMPUTED_VALUE"""),"Venture Capital &amp; Private Equity")</f>
        <v>Venture Capital &amp; Private Equity</v>
      </c>
      <c r="C217" s="7" t="str">
        <f>IFERROR(__xludf.DUMMYFUNCTION("""COMPUTED_VALUE"""),"http://www.kaleiventures.com/")</f>
        <v>http://www.kaleiventures.com/</v>
      </c>
      <c r="D217" s="1" t="str">
        <f>IFERROR(__xludf.DUMMYFUNCTION("""COMPUTED_VALUE"""),"Argentina")</f>
        <v>Argentina</v>
      </c>
      <c r="E217" s="1"/>
      <c r="F217" s="1" t="str">
        <f>IFERROR(__xludf.DUMMYFUNCTION("""COMPUTED_VALUE"""),"Y")</f>
        <v>Y</v>
      </c>
      <c r="G217" s="1" t="str">
        <f>IFERROR(__xludf.DUMMYFUNCTION("""COMPUTED_VALUE"""),"Y")</f>
        <v>Y</v>
      </c>
      <c r="H217" s="1"/>
      <c r="I217" s="1"/>
      <c r="J217" s="1"/>
      <c r="K217" s="2"/>
      <c r="L217" s="2" t="str">
        <f>IFERROR(__xludf.DUMMYFUNCTION("""COMPUTED_VALUE"""),"100-250k USD")</f>
        <v>100-250k USD</v>
      </c>
      <c r="M217" s="2"/>
      <c r="N217" s="3"/>
      <c r="O217" s="2" t="str">
        <f>IFERROR(__xludf.DUMMYFUNCTION("""COMPUTED_VALUE"""),"Our mission is to help the best latin american early stage entrepreneurs successfully address big opportunities by providing capital and strategic value. ")</f>
        <v>Our mission is to help the best latin american early stage entrepreneurs successfully address big opportunities by providing capital and strategic value. </v>
      </c>
      <c r="P217" s="1"/>
      <c r="Q217" s="1"/>
      <c r="R217" s="1"/>
      <c r="S217" s="1"/>
      <c r="T217" s="1"/>
      <c r="U217" s="1"/>
      <c r="V217" s="1"/>
      <c r="W217" s="1"/>
      <c r="X217" s="1"/>
      <c r="Y217" s="1"/>
      <c r="Z217" s="1"/>
    </row>
    <row r="218">
      <c r="A218" s="1" t="str">
        <f>IFERROR(__xludf.DUMMYFUNCTION("""COMPUTED_VALUE"""),"Kamay Ventures")</f>
        <v>Kamay Ventures</v>
      </c>
      <c r="B218" s="1" t="str">
        <f>IFERROR(__xludf.DUMMYFUNCTION("""COMPUTED_VALUE"""),"Corporate Venture Fund")</f>
        <v>Corporate Venture Fund</v>
      </c>
      <c r="C218" s="7" t="str">
        <f>IFERROR(__xludf.DUMMYFUNCTION("""COMPUTED_VALUE"""),"https://kamayventures.com/")</f>
        <v>https://kamayventures.com/</v>
      </c>
      <c r="D218" s="1" t="str">
        <f>IFERROR(__xludf.DUMMYFUNCTION("""COMPUTED_VALUE"""),"Argentina")</f>
        <v>Argentina</v>
      </c>
      <c r="E218" s="1"/>
      <c r="F218" s="1"/>
      <c r="G218" s="1"/>
      <c r="H218" s="1"/>
      <c r="I218" s="1"/>
      <c r="J218" s="1"/>
      <c r="K218" s="2"/>
      <c r="L218" s="2"/>
      <c r="M218" s="2"/>
      <c r="N218" s="3"/>
      <c r="O218" s="2" t="str">
        <f>IFERROR(__xludf.DUMMYFUNCTION("""COMPUTED_VALUE"""),"We are the first Argentine Open Capital Fund. Open to new ideas, new opportunities and new talents. We are a diverse and complementary team of professionals from different areas. Together we created a new space for networking capital and collaboration wit"&amp;"hin the startup ecosystem to help new talent develop new projects and generate true growth opportunities.")</f>
        <v>We are the first Argentine Open Capital Fund. Open to new ideas, new opportunities and new talents. We are a diverse and complementary team of professionals from different areas. Together we created a new space for networking capital and collaboration within the startup ecosystem to help new talent develop new projects and generate true growth opportunities.</v>
      </c>
      <c r="P218" s="1"/>
      <c r="Q218" s="1"/>
      <c r="R218" s="1"/>
      <c r="S218" s="1"/>
      <c r="T218" s="1"/>
      <c r="U218" s="1"/>
      <c r="V218" s="1"/>
      <c r="W218" s="1"/>
      <c r="X218" s="1"/>
      <c r="Y218" s="1"/>
      <c r="Z218" s="1"/>
    </row>
    <row r="219">
      <c r="A219" s="1" t="str">
        <f>IFERROR(__xludf.DUMMYFUNCTION("""COMPUTED_VALUE"""),"Kaszek Ventures")</f>
        <v>Kaszek Ventures</v>
      </c>
      <c r="B219" s="1" t="str">
        <f>IFERROR(__xludf.DUMMYFUNCTION("""COMPUTED_VALUE"""),"Venture Capital Fund")</f>
        <v>Venture Capital Fund</v>
      </c>
      <c r="C219" s="7" t="str">
        <f>IFERROR(__xludf.DUMMYFUNCTION("""COMPUTED_VALUE"""),"https://www.kaszek.com/")</f>
        <v>https://www.kaszek.com/</v>
      </c>
      <c r="D219" s="1" t="str">
        <f>IFERROR(__xludf.DUMMYFUNCTION("""COMPUTED_VALUE"""),"Argentina")</f>
        <v>Argentina</v>
      </c>
      <c r="E219" s="1"/>
      <c r="F219" s="1"/>
      <c r="G219" s="1" t="str">
        <f>IFERROR(__xludf.DUMMYFUNCTION("""COMPUTED_VALUE"""),"Y")</f>
        <v>Y</v>
      </c>
      <c r="H219" s="1" t="str">
        <f>IFERROR(__xludf.DUMMYFUNCTION("""COMPUTED_VALUE"""),"Y")</f>
        <v>Y</v>
      </c>
      <c r="I219" s="1" t="str">
        <f>IFERROR(__xludf.DUMMYFUNCTION("""COMPUTED_VALUE"""),"Y")</f>
        <v>Y</v>
      </c>
      <c r="J219" s="1" t="str">
        <f>IFERROR(__xludf.DUMMYFUNCTION("""COMPUTED_VALUE"""),"Y")</f>
        <v>Y</v>
      </c>
      <c r="K219" s="2"/>
      <c r="L219" s="2"/>
      <c r="M219" s="2"/>
      <c r="N219" s="3"/>
      <c r="O219" s="2" t="str">
        <f>IFERROR(__xludf.DUMMYFUNCTION("""COMPUTED_VALUE"""),"Kaszek Ventures is a venture capital firm investing in high-impact technology-based companies whose main focus is Latin America.")</f>
        <v>Kaszek Ventures is a venture capital firm investing in high-impact technology-based companies whose main focus is Latin America.</v>
      </c>
      <c r="P219" s="1"/>
      <c r="Q219" s="1"/>
      <c r="R219" s="1"/>
      <c r="S219" s="1"/>
      <c r="T219" s="1"/>
      <c r="U219" s="1"/>
      <c r="V219" s="1"/>
      <c r="W219" s="1"/>
      <c r="X219" s="1"/>
      <c r="Y219" s="1"/>
      <c r="Z219" s="1"/>
    </row>
    <row r="220">
      <c r="A220" s="1" t="str">
        <f>IFERROR(__xludf.DUMMYFUNCTION("""COMPUTED_VALUE"""),"KF Ventures")</f>
        <v>KF Ventures</v>
      </c>
      <c r="B220" s="1" t="str">
        <f>IFERROR(__xludf.DUMMYFUNCTION("""COMPUTED_VALUE"""),"Venture Capital Fund")</f>
        <v>Venture Capital Fund</v>
      </c>
      <c r="C220" s="7" t="str">
        <f>IFERROR(__xludf.DUMMYFUNCTION("""COMPUTED_VALUE"""),"https://www.kf-ventures.com/")</f>
        <v>https://www.kf-ventures.com/</v>
      </c>
      <c r="D220" s="1" t="str">
        <f>IFERROR(__xludf.DUMMYFUNCTION("""COMPUTED_VALUE"""),"Mexico")</f>
        <v>Mexico</v>
      </c>
      <c r="E220" s="1" t="str">
        <f>IFERROR(__xludf.DUMMYFUNCTION("""COMPUTED_VALUE"""),"Latin America")</f>
        <v>Latin America</v>
      </c>
      <c r="F220" s="1"/>
      <c r="G220" s="1"/>
      <c r="H220" s="1"/>
      <c r="I220" s="1"/>
      <c r="J220" s="1"/>
      <c r="K220" s="2" t="str">
        <f>IFERROR(__xludf.DUMMYFUNCTION("""COMPUTED_VALUE"""),"Latin America")</f>
        <v>Latin America</v>
      </c>
      <c r="L220" s="2"/>
      <c r="M220" s="2" t="str">
        <f>IFERROR(__xludf.DUMMYFUNCTION("""COMPUTED_VALUE"""),"Finance, Retail, eCommerce, Services, Health, RealEstate")</f>
        <v>Finance, Retail, eCommerce, Services, Health, RealEstate</v>
      </c>
      <c r="N220" s="3"/>
      <c r="O220" s="2" t="str">
        <f>IFERROR(__xludf.DUMMYFUNCTION("""COMPUTED_VALUE"""),"KF Ventures - We are a venture capital fund.")</f>
        <v>KF Ventures - We are a venture capital fund.</v>
      </c>
      <c r="P220" s="1" t="str">
        <f>IFERROR(__xludf.DUMMYFUNCTION("""COMPUTED_VALUE"""),"?")</f>
        <v>?</v>
      </c>
      <c r="Q220" s="1"/>
      <c r="R220" s="1"/>
      <c r="S220" s="1"/>
      <c r="T220" s="1"/>
      <c r="U220" s="1"/>
      <c r="V220" s="1"/>
      <c r="W220" s="1"/>
      <c r="X220" s="1"/>
      <c r="Y220" s="1"/>
      <c r="Z220" s="1"/>
    </row>
    <row r="221">
      <c r="A221" s="1" t="str">
        <f>IFERROR(__xludf.DUMMYFUNCTION("""COMPUTED_VALUE"""),"Kio Networks")</f>
        <v>Kio Networks</v>
      </c>
      <c r="B221" s="1" t="str">
        <f>IFERROR(__xludf.DUMMYFUNCTION("""COMPUTED_VALUE"""),"Corporate Venture Fund")</f>
        <v>Corporate Venture Fund</v>
      </c>
      <c r="C221" s="7" t="str">
        <f>IFERROR(__xludf.DUMMYFUNCTION("""COMPUTED_VALUE"""),"https://www.kionetworks.com/")</f>
        <v>https://www.kionetworks.com/</v>
      </c>
      <c r="D221" s="1" t="str">
        <f>IFERROR(__xludf.DUMMYFUNCTION("""COMPUTED_VALUE"""),"Mexico")</f>
        <v>Mexico</v>
      </c>
      <c r="E221" s="1"/>
      <c r="F221" s="1"/>
      <c r="G221" s="1"/>
      <c r="H221" s="1"/>
      <c r="I221" s="1"/>
      <c r="J221" s="1"/>
      <c r="K221" s="2"/>
      <c r="L221" s="2"/>
      <c r="M221" s="2"/>
      <c r="N221" s="3"/>
      <c r="O221" s="2" t="str">
        <f>IFERROR(__xludf.DUMMYFUNCTION("""COMPUTED_VALUE"""),"The word KIO is derived from swahili and means “mirror”; symbolizing duality and redundancy --- the essential elements of KIO´s services.")</f>
        <v>The word KIO is derived from swahili and means “mirror”; symbolizing duality and redundancy --- the essential elements of KIO´s services.</v>
      </c>
      <c r="P221" s="1"/>
      <c r="Q221" s="1"/>
      <c r="R221" s="1"/>
      <c r="S221" s="1"/>
      <c r="T221" s="1"/>
      <c r="U221" s="1"/>
      <c r="V221" s="1"/>
      <c r="W221" s="1"/>
      <c r="X221" s="1"/>
      <c r="Y221" s="1"/>
      <c r="Z221" s="1"/>
    </row>
    <row r="222">
      <c r="A222" s="1" t="str">
        <f>IFERROR(__xludf.DUMMYFUNCTION("""COMPUTED_VALUE"""),"KM Capital")</f>
        <v>KM Capital</v>
      </c>
      <c r="B222" s="1" t="str">
        <f>IFERROR(__xludf.DUMMYFUNCTION("""COMPUTED_VALUE"""),"Investment Banking and Financial Services")</f>
        <v>Investment Banking and Financial Services</v>
      </c>
      <c r="C222" s="7" t="str">
        <f>IFERROR(__xludf.DUMMYFUNCTION("""COMPUTED_VALUE"""),"https://www.kmcapital.com.mx/")</f>
        <v>https://www.kmcapital.com.mx/</v>
      </c>
      <c r="D222" s="1"/>
      <c r="E222" s="1"/>
      <c r="F222" s="1"/>
      <c r="G222" s="1" t="str">
        <f>IFERROR(__xludf.DUMMYFUNCTION("""COMPUTED_VALUE"""),"Y")</f>
        <v>Y</v>
      </c>
      <c r="H222" s="1" t="str">
        <f>IFERROR(__xludf.DUMMYFUNCTION("""COMPUTED_VALUE"""),"Y")</f>
        <v>Y</v>
      </c>
      <c r="I222" s="1"/>
      <c r="J222" s="1"/>
      <c r="K222" s="2"/>
      <c r="L222" s="2"/>
      <c r="M222" s="2"/>
      <c r="N222" s="3"/>
      <c r="O222" s="2" t="str">
        <f>IFERROR(__xludf.DUMMYFUNCTION("""COMPUTED_VALUE"""),"We specialise in investing in early stage disruptive businesses")</f>
        <v>We specialise in investing in early stage disruptive businesses</v>
      </c>
      <c r="P222" s="1"/>
      <c r="Q222" s="1"/>
      <c r="R222" s="1"/>
      <c r="S222" s="1"/>
      <c r="T222" s="1"/>
      <c r="U222" s="1"/>
      <c r="V222" s="1"/>
      <c r="W222" s="1"/>
      <c r="X222" s="1"/>
      <c r="Y222" s="1"/>
      <c r="Z222" s="1"/>
    </row>
    <row r="223">
      <c r="A223" s="1" t="str">
        <f>IFERROR(__xludf.DUMMYFUNCTION("""COMPUTED_VALUE"""),"Koga Impact")</f>
        <v>Koga Impact</v>
      </c>
      <c r="B223" s="1" t="str">
        <f>IFERROR(__xludf.DUMMYFUNCTION("""COMPUTED_VALUE"""),"Accelerator")</f>
        <v>Accelerator</v>
      </c>
      <c r="C223" s="7" t="str">
        <f>IFERROR(__xludf.DUMMYFUNCTION("""COMPUTED_VALUE"""),"https://koga.com.py")</f>
        <v>https://koga.com.py</v>
      </c>
      <c r="D223" s="1"/>
      <c r="E223" s="1"/>
      <c r="F223" s="1"/>
      <c r="G223" s="1"/>
      <c r="H223" s="1"/>
      <c r="I223" s="1"/>
      <c r="J223" s="1"/>
      <c r="K223" s="2"/>
      <c r="L223" s="2"/>
      <c r="M223" s="2"/>
      <c r="N223" s="3"/>
      <c r="O223" s="2" t="str">
        <f>IFERROR(__xludf.DUMMYFUNCTION("""COMPUTED_VALUE"""),"We work in different ways so that there are more and more projects that contribute to the development of the ecosystem")</f>
        <v>We work in different ways so that there are more and more projects that contribute to the development of the ecosystem</v>
      </c>
      <c r="P223" s="1"/>
      <c r="Q223" s="1"/>
      <c r="R223" s="1"/>
      <c r="S223" s="1"/>
      <c r="T223" s="1"/>
      <c r="U223" s="1"/>
      <c r="V223" s="1"/>
      <c r="W223" s="1"/>
      <c r="X223" s="1"/>
      <c r="Y223" s="1"/>
      <c r="Z223" s="1"/>
    </row>
    <row r="224">
      <c r="A224" s="1" t="str">
        <f>IFERROR(__xludf.DUMMYFUNCTION("""COMPUTED_VALUE"""),"LabCap")</f>
        <v>LabCap</v>
      </c>
      <c r="B224" s="1" t="str">
        <f>IFERROR(__xludf.DUMMYFUNCTION("""COMPUTED_VALUE"""),"Venture Capital Fund")</f>
        <v>Venture Capital Fund</v>
      </c>
      <c r="C224" s="7" t="str">
        <f>IFERROR(__xludf.DUMMYFUNCTION("""COMPUTED_VALUE"""),"https://labcap.mx/")</f>
        <v>https://labcap.mx/</v>
      </c>
      <c r="D224" s="1" t="str">
        <f>IFERROR(__xludf.DUMMYFUNCTION("""COMPUTED_VALUE"""),"Mexico")</f>
        <v>Mexico</v>
      </c>
      <c r="E224" s="1"/>
      <c r="F224" s="1"/>
      <c r="G224" s="1"/>
      <c r="H224" s="1"/>
      <c r="I224" s="1"/>
      <c r="J224" s="1"/>
      <c r="K224" s="2"/>
      <c r="L224" s="2"/>
      <c r="M224" s="2"/>
      <c r="N224" s="3"/>
      <c r="O224" s="2" t="str">
        <f>IFERROR(__xludf.DUMMYFUNCTION("""COMPUTED_VALUE"""),"Labcap connects creative population with greater options for smart capital, positioning itself as an ally of entrepreneurs and investors.")</f>
        <v>Labcap connects creative population with greater options for smart capital, positioning itself as an ally of entrepreneurs and investors.</v>
      </c>
      <c r="P224" s="1"/>
      <c r="Q224" s="1"/>
      <c r="R224" s="1"/>
      <c r="S224" s="1"/>
      <c r="T224" s="1"/>
      <c r="U224" s="1"/>
      <c r="V224" s="1"/>
      <c r="W224" s="1"/>
      <c r="X224" s="1"/>
      <c r="Y224" s="1"/>
      <c r="Z224" s="1"/>
    </row>
    <row r="225">
      <c r="A225" s="1" t="str">
        <f>IFERROR(__xludf.DUMMYFUNCTION("""COMPUTED_VALUE"""),"Lafise Investment Management")</f>
        <v>Lafise Investment Management</v>
      </c>
      <c r="B225" s="1" t="str">
        <f>IFERROR(__xludf.DUMMYFUNCTION("""COMPUTED_VALUE"""),"Corporate Venture Fund")</f>
        <v>Corporate Venture Fund</v>
      </c>
      <c r="C225" s="7" t="str">
        <f>IFERROR(__xludf.DUMMYFUNCTION("""COMPUTED_VALUE"""),"https://www.lafise.com/investment/es-es/")</f>
        <v>https://www.lafise.com/investment/es-es/</v>
      </c>
      <c r="D225" s="1" t="str">
        <f>IFERROR(__xludf.DUMMYFUNCTION("""COMPUTED_VALUE"""),"Nicaragua")</f>
        <v>Nicaragua</v>
      </c>
      <c r="E225" s="1"/>
      <c r="F225" s="1"/>
      <c r="G225" s="1"/>
      <c r="H225" s="1"/>
      <c r="I225" s="1"/>
      <c r="J225" s="1"/>
      <c r="K225" s="2"/>
      <c r="L225" s="2"/>
      <c r="M225" s="2"/>
      <c r="N225" s="3"/>
      <c r="O225" s="2" t="str">
        <f>IFERROR(__xludf.DUMMYFUNCTION("""COMPUTED_VALUE"""),"Venture capital funds with a focus on growth for SMEs in Central America, Panama, the Dominican Republic and Colombia. Through a regional investment strategy diversified by sectors, the fund is aimed at SMEs with high growth potential and export-oriented "&amp;"in these markets.")</f>
        <v>Venture capital funds with a focus on growth for SMEs in Central America, Panama, the Dominican Republic and Colombia. Through a regional investment strategy diversified by sectors, the fund is aimed at SMEs with high growth potential and export-oriented in these markets.</v>
      </c>
      <c r="P225" s="1"/>
      <c r="Q225" s="1"/>
      <c r="R225" s="1"/>
      <c r="S225" s="1"/>
      <c r="T225" s="1"/>
      <c r="U225" s="1"/>
      <c r="V225" s="1"/>
      <c r="W225" s="1"/>
      <c r="X225" s="1"/>
      <c r="Y225" s="1"/>
      <c r="Z225" s="1"/>
    </row>
    <row r="226">
      <c r="A226" s="1" t="str">
        <f>IFERROR(__xludf.DUMMYFUNCTION("""COMPUTED_VALUE"""),"LAIF - Latin America Insurance Fund")</f>
        <v>LAIF - Latin America Insurance Fund</v>
      </c>
      <c r="B226" s="1" t="str">
        <f>IFERROR(__xludf.DUMMYFUNCTION("""COMPUTED_VALUE"""),"Corporate Venture Fund")</f>
        <v>Corporate Venture Fund</v>
      </c>
      <c r="C226" s="7" t="str">
        <f>IFERROR(__xludf.DUMMYFUNCTION("""COMPUTED_VALUE"""),"https://laif.co/en/home/")</f>
        <v>https://laif.co/en/home/</v>
      </c>
      <c r="D226" s="1" t="str">
        <f>IFERROR(__xludf.DUMMYFUNCTION("""COMPUTED_VALUE"""),"Argentina")</f>
        <v>Argentina</v>
      </c>
      <c r="E226" s="1"/>
      <c r="F226" s="1"/>
      <c r="G226" s="1"/>
      <c r="H226" s="1"/>
      <c r="I226" s="1"/>
      <c r="J226" s="1"/>
      <c r="K226" s="2"/>
      <c r="L226" s="2"/>
      <c r="M226" s="2" t="str">
        <f>IFERROR(__xludf.DUMMYFUNCTION("""COMPUTED_VALUE"""),"Insurance")</f>
        <v>Insurance</v>
      </c>
      <c r="N226" s="3"/>
      <c r="O226" s="2" t="str">
        <f>IFERROR(__xludf.DUMMYFUNCTION("""COMPUTED_VALUE"""),"LAIF is the first Corporate Venture Capital Fund in Latin America focused on Insurtech. LAIF invests in startups that have the potential to change the Insurance Industry.Innovation is changing the way insurance companies operate today and LAIF focuses on "&amp;"companies concerned with the transformation of the Insurance Market.")</f>
        <v>LAIF is the first Corporate Venture Capital Fund in Latin America focused on Insurtech. LAIF invests in startups that have the potential to change the Insurance Industry.Innovation is changing the way insurance companies operate today and LAIF focuses on companies concerned with the transformation of the Insurance Market.</v>
      </c>
      <c r="P226" s="1"/>
      <c r="Q226" s="1"/>
      <c r="R226" s="1"/>
      <c r="S226" s="1"/>
      <c r="T226" s="1"/>
      <c r="U226" s="1"/>
      <c r="V226" s="1"/>
      <c r="W226" s="1"/>
      <c r="X226" s="1"/>
      <c r="Y226" s="1"/>
      <c r="Z226" s="1"/>
    </row>
    <row r="227">
      <c r="A227" s="1" t="str">
        <f>IFERROR(__xludf.DUMMYFUNCTION("""COMPUTED_VALUE"""),"Las Olas Venture Capital")</f>
        <v>Las Olas Venture Capital</v>
      </c>
      <c r="B227" s="1" t="str">
        <f>IFERROR(__xludf.DUMMYFUNCTION("""COMPUTED_VALUE"""),"Venture Capital Fund")</f>
        <v>Venture Capital Fund</v>
      </c>
      <c r="C227" s="7" t="str">
        <f>IFERROR(__xludf.DUMMYFUNCTION("""COMPUTED_VALUE"""),"http://www.lasolasvc.com/")</f>
        <v>http://www.lasolasvc.com/</v>
      </c>
      <c r="D227" s="1" t="str">
        <f>IFERROR(__xludf.DUMMYFUNCTION("""COMPUTED_VALUE"""),"United States of America")</f>
        <v>United States of America</v>
      </c>
      <c r="E227" s="1"/>
      <c r="F227" s="1"/>
      <c r="G227" s="1"/>
      <c r="H227" s="1"/>
      <c r="I227" s="1"/>
      <c r="J227" s="1"/>
      <c r="K227" s="2"/>
      <c r="L227" s="2"/>
      <c r="M227" s="2"/>
      <c r="N227" s="3"/>
      <c r="O227" s="2" t="str">
        <f>IFERROR(__xludf.DUMMYFUNCTION("""COMPUTED_VALUE"""),"Las Olas Venture Capital is an early-stage fund that invests in startups in a variety of industries.")</f>
        <v>Las Olas Venture Capital is an early-stage fund that invests in startups in a variety of industries.</v>
      </c>
      <c r="P227" s="1"/>
      <c r="Q227" s="1"/>
      <c r="R227" s="1"/>
      <c r="S227" s="1"/>
      <c r="T227" s="1"/>
      <c r="U227" s="1"/>
      <c r="V227" s="1"/>
      <c r="W227" s="1"/>
      <c r="X227" s="1"/>
      <c r="Y227" s="1"/>
      <c r="Z227" s="1"/>
    </row>
    <row r="228">
      <c r="A228" s="1" t="str">
        <f>IFERROR(__xludf.DUMMYFUNCTION("""COMPUTED_VALUE"""),"Latinia")</f>
        <v>Latinia</v>
      </c>
      <c r="B228" s="1" t="str">
        <f>IFERROR(__xludf.DUMMYFUNCTION("""COMPUTED_VALUE"""),"Corporate Venture Fund")</f>
        <v>Corporate Venture Fund</v>
      </c>
      <c r="C228" s="7" t="str">
        <f>IFERROR(__xludf.DUMMYFUNCTION("""COMPUTED_VALUE"""),"https://www.latinia.com/")</f>
        <v>https://www.latinia.com/</v>
      </c>
      <c r="D228" s="1" t="str">
        <f>IFERROR(__xludf.DUMMYFUNCTION("""COMPUTED_VALUE"""),"Spain")</f>
        <v>Spain</v>
      </c>
      <c r="E228" s="1" t="str">
        <f>IFERROR(__xludf.DUMMYFUNCTION("""COMPUTED_VALUE"""),"Latam")</f>
        <v>Latam</v>
      </c>
      <c r="F228" s="1"/>
      <c r="G228" s="1" t="str">
        <f>IFERROR(__xludf.DUMMYFUNCTION("""COMPUTED_VALUE"""),"Y")</f>
        <v>Y</v>
      </c>
      <c r="H228" s="1" t="str">
        <f>IFERROR(__xludf.DUMMYFUNCTION("""COMPUTED_VALUE"""),"Y")</f>
        <v>Y</v>
      </c>
      <c r="I228" s="1"/>
      <c r="J228" s="1"/>
      <c r="K228" s="2" t="str">
        <f>IFERROR(__xludf.DUMMYFUNCTION("""COMPUTED_VALUE"""),"Latam")</f>
        <v>Latam</v>
      </c>
      <c r="L228" s="2"/>
      <c r="M228" s="2"/>
      <c r="N228" s="3"/>
      <c r="O228" s="2" t="str">
        <f>IFERROR(__xludf.DUMMYFUNCTION("""COMPUTED_VALUE"""),"Latinia is an independent software vendor, which specializes in infrastructure product development for multichannel asynchronous type.")</f>
        <v>Latinia is an independent software vendor, which specializes in infrastructure product development for multichannel asynchronous type.</v>
      </c>
      <c r="P228" s="1"/>
      <c r="Q228" s="1"/>
      <c r="R228" s="1"/>
      <c r="S228" s="1"/>
      <c r="T228" s="1"/>
      <c r="U228" s="1"/>
      <c r="V228" s="1"/>
      <c r="W228" s="1"/>
      <c r="X228" s="1"/>
      <c r="Y228" s="1"/>
      <c r="Z228" s="1"/>
    </row>
    <row r="229">
      <c r="A229" s="1" t="str">
        <f>IFERROR(__xludf.DUMMYFUNCTION("""COMPUTED_VALUE"""),"Leap Global Partners")</f>
        <v>Leap Global Partners</v>
      </c>
      <c r="B229" s="1" t="str">
        <f>IFERROR(__xludf.DUMMYFUNCTION("""COMPUTED_VALUE"""),"Venture Capital Fund")</f>
        <v>Venture Capital Fund</v>
      </c>
      <c r="C229" s="7" t="str">
        <f>IFERROR(__xludf.DUMMYFUNCTION("""COMPUTED_VALUE"""),"http://www.leapglobalpartners.com/")</f>
        <v>http://www.leapglobalpartners.com/</v>
      </c>
      <c r="D229" s="1" t="str">
        <f>IFERROR(__xludf.DUMMYFUNCTION("""COMPUTED_VALUE"""),"United States of America")</f>
        <v>United States of America</v>
      </c>
      <c r="E229" s="1"/>
      <c r="F229" s="1"/>
      <c r="G229" s="1"/>
      <c r="H229" s="1"/>
      <c r="I229" s="1"/>
      <c r="J229" s="1"/>
      <c r="K229" s="2"/>
      <c r="L229" s="2"/>
      <c r="M229" s="2"/>
      <c r="N229" s="3"/>
      <c r="O229" s="2" t="str">
        <f>IFERROR(__xludf.DUMMYFUNCTION("""COMPUTED_VALUE"""),"LEAP Global Partners is a Cross-Border Venture Capital firm that invests in LatinX founders and startups that view the Latin American market as critical to their long-term success.")</f>
        <v>LEAP Global Partners is a Cross-Border Venture Capital firm that invests in LatinX founders and startups that view the Latin American market as critical to their long-term success.</v>
      </c>
      <c r="P229" s="1"/>
      <c r="Q229" s="1"/>
      <c r="R229" s="1"/>
      <c r="S229" s="1"/>
      <c r="T229" s="1"/>
      <c r="U229" s="1"/>
      <c r="V229" s="1"/>
      <c r="W229" s="1"/>
      <c r="X229" s="1"/>
      <c r="Y229" s="1"/>
      <c r="Z229" s="1"/>
    </row>
    <row r="230">
      <c r="A230" s="1" t="str">
        <f>IFERROR(__xludf.DUMMYFUNCTION("""COMPUTED_VALUE"""),"Life is too short Capital")</f>
        <v>Life is too short Capital</v>
      </c>
      <c r="B230" s="1" t="str">
        <f>IFERROR(__xludf.DUMMYFUNCTION("""COMPUTED_VALUE"""),"Venture Capital Fund")</f>
        <v>Venture Capital Fund</v>
      </c>
      <c r="C230" s="7" t="str">
        <f>IFERROR(__xludf.DUMMYFUNCTION("""COMPUTED_VALUE"""),"http://www.lifeistooshort.capital/")</f>
        <v>http://www.lifeistooshort.capital/</v>
      </c>
      <c r="D230" s="1" t="str">
        <f>IFERROR(__xludf.DUMMYFUNCTION("""COMPUTED_VALUE"""),"Mexico")</f>
        <v>Mexico</v>
      </c>
      <c r="E230" s="1"/>
      <c r="F230" s="1"/>
      <c r="G230" s="1"/>
      <c r="H230" s="1"/>
      <c r="I230" s="1"/>
      <c r="J230" s="1"/>
      <c r="K230" s="2"/>
      <c r="L230" s="2"/>
      <c r="M230" s="2"/>
      <c r="N230" s="3"/>
      <c r="O230" s="2" t="str">
        <f>IFERROR(__xludf.DUMMYFUNCTION("""COMPUTED_VALUE"""),"The pipeline for mexican investors to Silicon Valley.")</f>
        <v>The pipeline for mexican investors to Silicon Valley.</v>
      </c>
      <c r="P230" s="1"/>
      <c r="Q230" s="1"/>
      <c r="R230" s="1"/>
      <c r="S230" s="1"/>
      <c r="T230" s="1"/>
      <c r="U230" s="1"/>
      <c r="V230" s="1"/>
      <c r="W230" s="1"/>
      <c r="X230" s="1"/>
      <c r="Y230" s="1"/>
      <c r="Z230" s="1"/>
    </row>
    <row r="231">
      <c r="A231" s="1" t="str">
        <f>IFERROR(__xludf.DUMMYFUNCTION("""COMPUTED_VALUE"""),"Liil City Ventures")</f>
        <v>Liil City Ventures</v>
      </c>
      <c r="B231" s="1" t="str">
        <f>IFERROR(__xludf.DUMMYFUNCTION("""COMPUTED_VALUE"""),"Corporate Venture Fund")</f>
        <v>Corporate Venture Fund</v>
      </c>
      <c r="C231" s="7" t="str">
        <f>IFERROR(__xludf.DUMMYFUNCTION("""COMPUTED_VALUE"""),"https://www.liil.city/")</f>
        <v>https://www.liil.city/</v>
      </c>
      <c r="D231" s="1" t="str">
        <f>IFERROR(__xludf.DUMMYFUNCTION("""COMPUTED_VALUE"""),"Mexico")</f>
        <v>Mexico</v>
      </c>
      <c r="E231" s="1"/>
      <c r="F231" s="1"/>
      <c r="G231" s="1"/>
      <c r="H231" s="1" t="str">
        <f>IFERROR(__xludf.DUMMYFUNCTION("""COMPUTED_VALUE"""),"Y")</f>
        <v>Y</v>
      </c>
      <c r="I231" s="1" t="str">
        <f>IFERROR(__xludf.DUMMYFUNCTION("""COMPUTED_VALUE"""),"Y")</f>
        <v>Y</v>
      </c>
      <c r="J231" s="1" t="str">
        <f>IFERROR(__xludf.DUMMYFUNCTION("""COMPUTED_VALUE"""),"Y")</f>
        <v>Y</v>
      </c>
      <c r="K231" s="2"/>
      <c r="L231" s="2"/>
      <c r="M231" s="2"/>
      <c r="N231" s="3"/>
      <c r="O231" s="2" t="str">
        <f>IFERROR(__xludf.DUMMYFUNCTION("""COMPUTED_VALUE"""),"Liil works with early-stage companies focused on smart city and new mobility.")</f>
        <v>Liil works with early-stage companies focused on smart city and new mobility.</v>
      </c>
      <c r="P231" s="1"/>
      <c r="Q231" s="1"/>
      <c r="R231" s="1"/>
      <c r="S231" s="1"/>
      <c r="T231" s="1"/>
      <c r="U231" s="1"/>
      <c r="V231" s="1"/>
      <c r="W231" s="1"/>
      <c r="X231" s="1"/>
      <c r="Y231" s="1"/>
      <c r="Z231" s="1"/>
    </row>
    <row r="232">
      <c r="A232" s="1" t="str">
        <f>IFERROR(__xludf.DUMMYFUNCTION("""COMPUTED_VALUE"""),"LIP Ventures Boutique")</f>
        <v>LIP Ventures Boutique</v>
      </c>
      <c r="B232" s="1" t="str">
        <f>IFERROR(__xludf.DUMMYFUNCTION("""COMPUTED_VALUE"""),"Venture Capital Fund")</f>
        <v>Venture Capital Fund</v>
      </c>
      <c r="C232" s="7" t="str">
        <f>IFERROR(__xludf.DUMMYFUNCTION("""COMPUTED_VALUE"""),"http://www.lip.lat/")</f>
        <v>http://www.lip.lat/</v>
      </c>
      <c r="D232" s="1" t="str">
        <f>IFERROR(__xludf.DUMMYFUNCTION("""COMPUTED_VALUE"""),"Mexico")</f>
        <v>Mexico</v>
      </c>
      <c r="E232" s="1"/>
      <c r="F232" s="1"/>
      <c r="G232" s="1"/>
      <c r="H232" s="1"/>
      <c r="I232" s="1"/>
      <c r="J232" s="1"/>
      <c r="K232" s="2"/>
      <c r="L232" s="2"/>
      <c r="M232" s="2"/>
      <c r="N232" s="3"/>
      <c r="O232" s="2" t="str">
        <f>IFERROR(__xludf.DUMMYFUNCTION("""COMPUTED_VALUE"""),"LIP Ventures Boutique, an innovation powerhouse that connects and generates value to the ecosystem by providing specialized venture capital and business development services to multiregional technology startups. We work to leapfrog Mexico &amp; LatAm's access"&amp;" to leading technology and innovation.")</f>
        <v>LIP Ventures Boutique, an innovation powerhouse that connects and generates value to the ecosystem by providing specialized venture capital and business development services to multiregional technology startups. We work to leapfrog Mexico &amp; LatAm's access to leading technology and innovation.</v>
      </c>
      <c r="P232" s="1"/>
      <c r="Q232" s="1"/>
      <c r="R232" s="1"/>
      <c r="S232" s="1"/>
      <c r="T232" s="1"/>
      <c r="U232" s="1"/>
      <c r="V232" s="1"/>
      <c r="W232" s="1"/>
      <c r="X232" s="1"/>
      <c r="Y232" s="1"/>
      <c r="Z232" s="1"/>
    </row>
    <row r="233">
      <c r="A233" s="1" t="str">
        <f>IFERROR(__xludf.DUMMYFUNCTION("""COMPUTED_VALUE"""),"Liquid 2 Ventures")</f>
        <v>Liquid 2 Ventures</v>
      </c>
      <c r="B233" s="1" t="str">
        <f>IFERROR(__xludf.DUMMYFUNCTION("""COMPUTED_VALUE"""),"Venture Capital Fund")</f>
        <v>Venture Capital Fund</v>
      </c>
      <c r="C233" s="7" t="str">
        <f>IFERROR(__xludf.DUMMYFUNCTION("""COMPUTED_VALUE"""),"https://liquid2.vc/")</f>
        <v>https://liquid2.vc/</v>
      </c>
      <c r="D233" s="1" t="str">
        <f>IFERROR(__xludf.DUMMYFUNCTION("""COMPUTED_VALUE"""),"United States of America")</f>
        <v>United States of America</v>
      </c>
      <c r="E233" s="1"/>
      <c r="F233" s="1"/>
      <c r="G233" s="1" t="str">
        <f>IFERROR(__xludf.DUMMYFUNCTION("""COMPUTED_VALUE"""),"Y")</f>
        <v>Y</v>
      </c>
      <c r="H233" s="1" t="str">
        <f>IFERROR(__xludf.DUMMYFUNCTION("""COMPUTED_VALUE"""),"Y")</f>
        <v>Y</v>
      </c>
      <c r="I233" s="1"/>
      <c r="J233" s="1"/>
      <c r="K233" s="2"/>
      <c r="L233" s="2"/>
      <c r="M233" s="2"/>
      <c r="N233" s="3"/>
      <c r="O233" s="2" t="str">
        <f>IFERROR(__xludf.DUMMYFUNCTION("""COMPUTED_VALUE"""),"Liquid 2 Ventures is a leading seed stage fund founded by NFL hall of fame quarterback Joe Montana and two entrepreneurs Mike Miller (Cloudant acquired by IBM) and Michael Ma (TalkBin acquired by Google).")</f>
        <v>Liquid 2 Ventures is a leading seed stage fund founded by NFL hall of fame quarterback Joe Montana and two entrepreneurs Mike Miller (Cloudant acquired by IBM) and Michael Ma (TalkBin acquired by Google).</v>
      </c>
      <c r="P233" s="1"/>
      <c r="Q233" s="1"/>
      <c r="R233" s="1"/>
      <c r="S233" s="1"/>
      <c r="T233" s="1"/>
      <c r="U233" s="1"/>
      <c r="V233" s="1"/>
      <c r="W233" s="1"/>
      <c r="X233" s="1"/>
      <c r="Y233" s="1"/>
      <c r="Z233" s="1"/>
    </row>
    <row r="234" hidden="1">
      <c r="A234" s="1" t="str">
        <f>IFERROR(__xludf.DUMMYFUNCTION("""COMPUTED_VALUE"""),"LIV Capital")</f>
        <v>LIV Capital</v>
      </c>
      <c r="B234" s="1" t="str">
        <f>IFERROR(__xludf.DUMMYFUNCTION("""COMPUTED_VALUE"""),"Private Equity Firm")</f>
        <v>Private Equity Firm</v>
      </c>
      <c r="C234" s="1"/>
      <c r="D234" s="1"/>
      <c r="E234" s="1"/>
      <c r="F234" s="1" t="str">
        <f>IFERROR(__xludf.DUMMYFUNCTION("""COMPUTED_VALUE"""),"Y")</f>
        <v>Y</v>
      </c>
      <c r="G234" s="1"/>
      <c r="H234" s="1"/>
      <c r="I234" s="1" t="str">
        <f>IFERROR(__xludf.DUMMYFUNCTION("""COMPUTED_VALUE"""),"Y")</f>
        <v>Y</v>
      </c>
      <c r="J234" s="1"/>
      <c r="K234" s="8" t="str">
        <f>IFERROR(__xludf.DUMMYFUNCTION("""COMPUTED_VALUE"""),"https://www.linkedin.com/company/liv-capital/about/")</f>
        <v>https://www.linkedin.com/company/liv-capital/about/</v>
      </c>
      <c r="L234" s="2"/>
      <c r="M234" s="2"/>
      <c r="N234" s="3" t="str">
        <f>IFERROR(__xludf.DUMMYFUNCTION("""COMPUTED_VALUE"""),"General")</f>
        <v>General</v>
      </c>
      <c r="O234" s="2"/>
      <c r="P234" s="1"/>
      <c r="Q234" s="1"/>
      <c r="R234" s="1"/>
      <c r="S234" s="1"/>
      <c r="T234" s="1"/>
      <c r="U234" s="1"/>
      <c r="V234" s="1"/>
      <c r="W234" s="1"/>
      <c r="X234" s="1"/>
      <c r="Y234" s="1"/>
      <c r="Z234" s="1"/>
    </row>
    <row r="235" hidden="1">
      <c r="A235" s="1" t="str">
        <f>IFERROR(__xludf.DUMMYFUNCTION("""COMPUTED_VALUE"""),"Lotux")</f>
        <v>Lotux</v>
      </c>
      <c r="B235" s="1" t="str">
        <f>IFERROR(__xludf.DUMMYFUNCTION("""COMPUTED_VALUE"""),"Venture Capital Fund")</f>
        <v>Venture Capital Fund</v>
      </c>
      <c r="C235" s="1" t="str">
        <f>IFERROR(__xludf.DUMMYFUNCTION("""COMPUTED_VALUE"""),"founders@lotux.vc")</f>
        <v>founders@lotux.vc</v>
      </c>
      <c r="D235" s="1" t="str">
        <f>IFERROR(__xludf.DUMMYFUNCTION("""COMPUTED_VALUE"""),"Mexico")</f>
        <v>Mexico</v>
      </c>
      <c r="E235" s="1" t="str">
        <f>IFERROR(__xludf.DUMMYFUNCTION("""COMPUTED_VALUE"""),"Latam")</f>
        <v>Latam</v>
      </c>
      <c r="F235" s="1" t="str">
        <f>IFERROR(__xludf.DUMMYFUNCTION("""COMPUTED_VALUE"""),"Y")</f>
        <v>Y</v>
      </c>
      <c r="G235" s="1"/>
      <c r="H235" s="1"/>
      <c r="I235" s="1"/>
      <c r="J235" s="1" t="str">
        <f>IFERROR(__xludf.DUMMYFUNCTION("""COMPUTED_VALUE"""),"25k USD")</f>
        <v>25k USD</v>
      </c>
      <c r="K235" s="8" t="str">
        <f>IFERROR(__xludf.DUMMYFUNCTION("""COMPUTED_VALUE"""),"https://linkedin.com/company/lotuxvc")</f>
        <v>https://linkedin.com/company/lotuxvc</v>
      </c>
      <c r="L235" s="2"/>
      <c r="M235" s="2">
        <f>IFERROR(__xludf.DUMMYFUNCTION("""COMPUTED_VALUE"""),250000.0)</f>
        <v>250000</v>
      </c>
      <c r="N235" s="3" t="str">
        <f>IFERROR(__xludf.DUMMYFUNCTION("""COMPUTED_VALUE"""),"Early-stage Venture Capital fund focused on Latin American entrepreneurs")</f>
        <v>Early-stage Venture Capital fund focused on Latin American entrepreneurs</v>
      </c>
      <c r="O235" s="2"/>
      <c r="P235" s="1"/>
      <c r="Q235" s="1"/>
      <c r="R235" s="1"/>
      <c r="S235" s="1"/>
      <c r="T235" s="1"/>
      <c r="U235" s="1"/>
      <c r="V235" s="1"/>
      <c r="W235" s="1"/>
      <c r="X235" s="1"/>
      <c r="Y235" s="1"/>
      <c r="Z235" s="1"/>
    </row>
    <row r="236">
      <c r="A236" s="1" t="str">
        <f>IFERROR(__xludf.DUMMYFUNCTION("""COMPUTED_VALUE"""),"M4Fund")</f>
        <v>M4Fund</v>
      </c>
      <c r="B236" s="1" t="str">
        <f>IFERROR(__xludf.DUMMYFUNCTION("""COMPUTED_VALUE"""),"Venture Capital Fund")</f>
        <v>Venture Capital Fund</v>
      </c>
      <c r="C236" s="7" t="str">
        <f>IFERROR(__xludf.DUMMYFUNCTION("""COMPUTED_VALUE"""),"http://www.m4fund.com/")</f>
        <v>http://www.m4fund.com/</v>
      </c>
      <c r="D236" s="1" t="str">
        <f>IFERROR(__xludf.DUMMYFUNCTION("""COMPUTED_VALUE"""),"United States of America")</f>
        <v>United States of America</v>
      </c>
      <c r="E236" s="1"/>
      <c r="F236" s="1"/>
      <c r="G236" s="1"/>
      <c r="H236" s="1"/>
      <c r="I236" s="1"/>
      <c r="J236" s="1"/>
      <c r="K236" s="2"/>
      <c r="L236" s="2"/>
      <c r="M236" s="2"/>
      <c r="N236" s="3"/>
      <c r="O236" s="2" t="str">
        <f>IFERROR(__xludf.DUMMYFUNCTION("""COMPUTED_VALUE"""),"In many respects, finance has entered a new world order. This new world order is highly verticalized and unbundled. To borrow a political science analogy, we now live in a multipolar world, with no hegemonic power, like a large banking institution, contro"&amp;"lling all verticals of financial market structure. Now, we see an increasing number of start-up players creating disruptive business models in specific financial services markets, exerting influence, and gaining market share.")</f>
        <v>In many respects, finance has entered a new world order. This new world order is highly verticalized and unbundled. To borrow a political science analogy, we now live in a multipolar world, with no hegemonic power, like a large banking institution, controlling all verticals of financial market structure. Now, we see an increasing number of start-up players creating disruptive business models in specific financial services markets, exerting influence, and gaining market share.</v>
      </c>
      <c r="P236" s="1"/>
      <c r="Q236" s="1"/>
      <c r="R236" s="1"/>
      <c r="S236" s="1"/>
      <c r="T236" s="1"/>
      <c r="U236" s="1"/>
      <c r="V236" s="1"/>
      <c r="W236" s="1"/>
      <c r="X236" s="1"/>
      <c r="Y236" s="1"/>
      <c r="Z236" s="1"/>
    </row>
    <row r="237">
      <c r="A237" s="1" t="str">
        <f>IFERROR(__xludf.DUMMYFUNCTION("""COMPUTED_VALUE"""),"MACONDO Lab")</f>
        <v>MACONDO Lab</v>
      </c>
      <c r="B237" s="1" t="str">
        <f>IFERROR(__xludf.DUMMYFUNCTION("""COMPUTED_VALUE"""),"Accelerator")</f>
        <v>Accelerator</v>
      </c>
      <c r="C237" s="7" t="str">
        <f>IFERROR(__xludf.DUMMYFUNCTION("""COMPUTED_VALUE"""),"http://macondolab.com/")</f>
        <v>http://macondolab.com/</v>
      </c>
      <c r="D237" s="1" t="str">
        <f>IFERROR(__xludf.DUMMYFUNCTION("""COMPUTED_VALUE"""),"Colombia")</f>
        <v>Colombia</v>
      </c>
      <c r="E237" s="1" t="str">
        <f>IFERROR(__xludf.DUMMYFUNCTION("""COMPUTED_VALUE"""),"Colombia")</f>
        <v>Colombia</v>
      </c>
      <c r="F237" s="1"/>
      <c r="G237" s="1"/>
      <c r="H237" s="1"/>
      <c r="I237" s="1"/>
      <c r="J237" s="1"/>
      <c r="K237" s="2" t="str">
        <f>IFERROR(__xludf.DUMMYFUNCTION("""COMPUTED_VALUE"""),"Colombia")</f>
        <v>Colombia</v>
      </c>
      <c r="L237" s="2"/>
      <c r="M237" s="2"/>
      <c r="N237" s="3"/>
      <c r="O237" s="2" t="str">
        <f>IFERROR(__xludf.DUMMYFUNCTION("""COMPUTED_VALUE"""),"Technologies that transform lives!")</f>
        <v>Technologies that transform lives!</v>
      </c>
      <c r="P237" s="1"/>
      <c r="Q237" s="1"/>
      <c r="R237" s="1"/>
      <c r="S237" s="1"/>
      <c r="T237" s="1"/>
      <c r="U237" s="1"/>
      <c r="V237" s="1"/>
      <c r="W237" s="1"/>
      <c r="X237" s="1"/>
      <c r="Y237" s="1"/>
      <c r="Z237" s="1"/>
    </row>
    <row r="238">
      <c r="A238" s="1" t="str">
        <f>IFERROR(__xludf.DUMMYFUNCTION("""COMPUTED_VALUE"""),"Magical Startups")</f>
        <v>Magical Startups</v>
      </c>
      <c r="B238" s="1" t="str">
        <f>IFERROR(__xludf.DUMMYFUNCTION("""COMPUTED_VALUE"""),"Accelerator")</f>
        <v>Accelerator</v>
      </c>
      <c r="C238" s="7" t="str">
        <f>IFERROR(__xludf.DUMMYFUNCTION("""COMPUTED_VALUE"""),"http://magicalstartups.cl/")</f>
        <v>http://magicalstartups.cl/</v>
      </c>
      <c r="D238" s="1" t="str">
        <f>IFERROR(__xludf.DUMMYFUNCTION("""COMPUTED_VALUE"""),"Chile")</f>
        <v>Chile</v>
      </c>
      <c r="E238" s="1"/>
      <c r="F238" s="1"/>
      <c r="G238" s="1"/>
      <c r="H238" s="1"/>
      <c r="I238" s="1"/>
      <c r="J238" s="1"/>
      <c r="K238" s="2"/>
      <c r="L238" s="2"/>
      <c r="M238" s="2"/>
      <c r="N238" s="3"/>
      <c r="O238" s="2" t="str">
        <f>IFERROR(__xludf.DUMMYFUNCTION("""COMPUTED_VALUE"""),"Magical Startups is a platform for building and accelerating global digital startups.")</f>
        <v>Magical Startups is a platform for building and accelerating global digital startups.</v>
      </c>
      <c r="P238" s="1"/>
      <c r="Q238" s="1"/>
      <c r="R238" s="1"/>
      <c r="S238" s="1"/>
      <c r="T238" s="1"/>
      <c r="U238" s="1"/>
      <c r="V238" s="1"/>
      <c r="W238" s="1"/>
      <c r="X238" s="1"/>
      <c r="Y238" s="1"/>
      <c r="Z238" s="1"/>
    </row>
    <row r="239">
      <c r="A239" s="1" t="str">
        <f>IFERROR(__xludf.DUMMYFUNCTION("""COMPUTED_VALUE"""),"Magma Partners")</f>
        <v>Magma Partners</v>
      </c>
      <c r="B239" s="1" t="str">
        <f>IFERROR(__xludf.DUMMYFUNCTION("""COMPUTED_VALUE"""),"Venture Capital Fund")</f>
        <v>Venture Capital Fund</v>
      </c>
      <c r="C239" s="7" t="str">
        <f>IFERROR(__xludf.DUMMYFUNCTION("""COMPUTED_VALUE"""),"https://www.magmapartners.com")</f>
        <v>https://www.magmapartners.com</v>
      </c>
      <c r="D239" s="1" t="str">
        <f>IFERROR(__xludf.DUMMYFUNCTION("""COMPUTED_VALUE"""),"Chile")</f>
        <v>Chile</v>
      </c>
      <c r="E239" s="1"/>
      <c r="F239" s="1" t="str">
        <f>IFERROR(__xludf.DUMMYFUNCTION("""COMPUTED_VALUE"""),"Y")</f>
        <v>Y</v>
      </c>
      <c r="G239" s="1" t="str">
        <f>IFERROR(__xludf.DUMMYFUNCTION("""COMPUTED_VALUE"""),"Y")</f>
        <v>Y</v>
      </c>
      <c r="H239" s="1" t="str">
        <f>IFERROR(__xludf.DUMMYFUNCTION("""COMPUTED_VALUE"""),"Y")</f>
        <v>Y</v>
      </c>
      <c r="I239" s="1"/>
      <c r="J239" s="1"/>
      <c r="K239" s="2"/>
      <c r="L239" s="2"/>
      <c r="M239" s="2"/>
      <c r="N239" s="3"/>
      <c r="O239" s="2" t="str">
        <f>IFERROR(__xludf.DUMMYFUNCTION("""COMPUTED_VALUE"""),"Magma Partners is an early-stage investment firm that supports the best Latin American entrepreneurs to launch and scale in the US.")</f>
        <v>Magma Partners is an early-stage investment firm that supports the best Latin American entrepreneurs to launch and scale in the US.</v>
      </c>
      <c r="P239" s="1"/>
      <c r="Q239" s="1"/>
      <c r="R239" s="1"/>
      <c r="S239" s="1"/>
      <c r="T239" s="1"/>
      <c r="U239" s="1"/>
      <c r="V239" s="1"/>
      <c r="W239" s="1"/>
      <c r="X239" s="1"/>
      <c r="Y239" s="1"/>
      <c r="Z239" s="1"/>
    </row>
    <row r="240">
      <c r="A240" s="1" t="str">
        <f>IFERROR(__xludf.DUMMYFUNCTION("""COMPUTED_VALUE"""),"Manta Capital")</f>
        <v>Manta Capital</v>
      </c>
      <c r="B240" s="1" t="str">
        <f>IFERROR(__xludf.DUMMYFUNCTION("""COMPUTED_VALUE"""),"Venture Capital Fund")</f>
        <v>Venture Capital Fund</v>
      </c>
      <c r="C240" s="7" t="str">
        <f>IFERROR(__xludf.DUMMYFUNCTION("""COMPUTED_VALUE"""),"http://www.mantacapital.com/")</f>
        <v>http://www.mantacapital.com/</v>
      </c>
      <c r="D240" s="1" t="str">
        <f>IFERROR(__xludf.DUMMYFUNCTION("""COMPUTED_VALUE"""),"Mexico")</f>
        <v>Mexico</v>
      </c>
      <c r="E240" s="1"/>
      <c r="F240" s="1"/>
      <c r="G240" s="1"/>
      <c r="H240" s="1"/>
      <c r="I240" s="1"/>
      <c r="J240" s="1"/>
      <c r="K240" s="2"/>
      <c r="L240" s="2"/>
      <c r="M240" s="2"/>
      <c r="N240" s="3"/>
      <c r="O240" s="2" t="str">
        <f>IFERROR(__xludf.DUMMYFUNCTION("""COMPUTED_VALUE"""),"Manta Capital invests in revenue generating companies and provides matchmaking services for those looking for partners primarily in the energy and infrastructure industries.")</f>
        <v>Manta Capital invests in revenue generating companies and provides matchmaking services for those looking for partners primarily in the energy and infrastructure industries.</v>
      </c>
      <c r="P240" s="1"/>
      <c r="Q240" s="1"/>
      <c r="R240" s="1"/>
      <c r="S240" s="1"/>
      <c r="T240" s="1"/>
      <c r="U240" s="1"/>
      <c r="V240" s="1"/>
      <c r="W240" s="1"/>
      <c r="X240" s="1"/>
      <c r="Y240" s="1"/>
      <c r="Z240" s="1"/>
    </row>
    <row r="241">
      <c r="A241" s="1" t="str">
        <f>IFERROR(__xludf.DUMMYFUNCTION("""COMPUTED_VALUE"""),"MassChallenge")</f>
        <v>MassChallenge</v>
      </c>
      <c r="B241" s="1" t="str">
        <f>IFERROR(__xludf.DUMMYFUNCTION("""COMPUTED_VALUE"""),"Accelerator")</f>
        <v>Accelerator</v>
      </c>
      <c r="C241" s="7" t="str">
        <f>IFERROR(__xludf.DUMMYFUNCTION("""COMPUTED_VALUE"""),"https://masschallenge.org/")</f>
        <v>https://masschallenge.org/</v>
      </c>
      <c r="D241" s="1" t="str">
        <f>IFERROR(__xludf.DUMMYFUNCTION("""COMPUTED_VALUE"""),"United States of America")</f>
        <v>United States of America</v>
      </c>
      <c r="E241" s="1"/>
      <c r="F241" s="1"/>
      <c r="G241" s="1"/>
      <c r="H241" s="1"/>
      <c r="I241" s="1"/>
      <c r="J241" s="1"/>
      <c r="K241" s="2"/>
      <c r="L241" s="2"/>
      <c r="M241" s="2"/>
      <c r="N241" s="3"/>
      <c r="O241" s="2" t="str">
        <f>IFERROR(__xludf.DUMMYFUNCTION("""COMPUTED_VALUE"""),"MassChallenge is a global non-profit startup accelerator and competition with a focus on high-impact, early-stage entrepreneurs.")</f>
        <v>MassChallenge is a global non-profit startup accelerator and competition with a focus on high-impact, early-stage entrepreneurs.</v>
      </c>
      <c r="P241" s="1"/>
      <c r="Q241" s="1"/>
      <c r="R241" s="1"/>
      <c r="S241" s="1"/>
      <c r="T241" s="1"/>
      <c r="U241" s="1"/>
      <c r="V241" s="1"/>
      <c r="W241" s="1"/>
      <c r="X241" s="1"/>
      <c r="Y241" s="1"/>
      <c r="Z241" s="1"/>
    </row>
    <row r="242">
      <c r="A242" s="1" t="str">
        <f>IFERROR(__xludf.DUMMYFUNCTION("""COMPUTED_VALUE"""),"Maya Capital")</f>
        <v>Maya Capital</v>
      </c>
      <c r="B242" s="1" t="str">
        <f>IFERROR(__xludf.DUMMYFUNCTION("""COMPUTED_VALUE"""),"Venture Capital Fund")</f>
        <v>Venture Capital Fund</v>
      </c>
      <c r="C242" s="7" t="str">
        <f>IFERROR(__xludf.DUMMYFUNCTION("""COMPUTED_VALUE"""),"https://www.maya.capital/")</f>
        <v>https://www.maya.capital/</v>
      </c>
      <c r="D242" s="1" t="str">
        <f>IFERROR(__xludf.DUMMYFUNCTION("""COMPUTED_VALUE"""),"Brazil")</f>
        <v>Brazil</v>
      </c>
      <c r="E242" s="1"/>
      <c r="F242" s="1"/>
      <c r="G242" s="1"/>
      <c r="H242" s="1"/>
      <c r="I242" s="1"/>
      <c r="J242" s="1"/>
      <c r="K242" s="2"/>
      <c r="L242" s="2"/>
      <c r="M242" s="2"/>
      <c r="N242" s="3"/>
      <c r="O242" s="2" t="str">
        <f>IFERROR(__xludf.DUMMYFUNCTION("""COMPUTED_VALUE"""),"MAYA Capital is an early-stage focused fund that supports bold leaders who are catalyzing change in Latin America.
")</f>
        <v>MAYA Capital is an early-stage focused fund that supports bold leaders who are catalyzing change in Latin America.
</v>
      </c>
      <c r="P242" s="1"/>
      <c r="Q242" s="1"/>
      <c r="R242" s="1"/>
      <c r="S242" s="1"/>
      <c r="T242" s="1"/>
      <c r="U242" s="1"/>
      <c r="V242" s="1"/>
      <c r="W242" s="1"/>
      <c r="X242" s="1"/>
      <c r="Y242" s="1"/>
      <c r="Z242" s="1"/>
    </row>
    <row r="243">
      <c r="A243" s="1" t="str">
        <f>IFERROR(__xludf.DUMMYFUNCTION("""COMPUTED_VALUE"""),"Mayan Capital Fund")</f>
        <v>Mayan Capital Fund</v>
      </c>
      <c r="B243" s="1" t="str">
        <f>IFERROR(__xludf.DUMMYFUNCTION("""COMPUTED_VALUE"""),"Private Equity Firm")</f>
        <v>Private Equity Firm</v>
      </c>
      <c r="C243" s="7" t="str">
        <f>IFERROR(__xludf.DUMMYFUNCTION("""COMPUTED_VALUE"""),"https://www.mayancapitalfund.com.mx/")</f>
        <v>https://www.mayancapitalfund.com.mx/</v>
      </c>
      <c r="D243" s="1" t="str">
        <f>IFERROR(__xludf.DUMMYFUNCTION("""COMPUTED_VALUE"""),"Mexico")</f>
        <v>Mexico</v>
      </c>
      <c r="E243" s="1"/>
      <c r="F243" s="1"/>
      <c r="G243" s="1" t="str">
        <f>IFERROR(__xludf.DUMMYFUNCTION("""COMPUTED_VALUE"""),"Y")</f>
        <v>Y</v>
      </c>
      <c r="H243" s="1"/>
      <c r="I243" s="1"/>
      <c r="J243" s="1"/>
      <c r="K243" s="2"/>
      <c r="L243" s="2"/>
      <c r="M243" s="2"/>
      <c r="N243" s="3"/>
      <c r="O243" s="2" t="str">
        <f>IFERROR(__xludf.DUMMYFUNCTION("""COMPUTED_VALUE"""),"Mayan Capital Fund is a seed and venture capital fund investing in SMEs.")</f>
        <v>Mayan Capital Fund is a seed and venture capital fund investing in SMEs.</v>
      </c>
      <c r="P243" s="1"/>
      <c r="Q243" s="1"/>
      <c r="R243" s="1"/>
      <c r="S243" s="1"/>
      <c r="T243" s="1"/>
      <c r="U243" s="1"/>
      <c r="V243" s="1"/>
      <c r="W243" s="1"/>
      <c r="X243" s="1"/>
      <c r="Y243" s="1"/>
      <c r="Z243" s="1"/>
    </row>
    <row r="244">
      <c r="A244" s="1" t="str">
        <f>IFERROR(__xludf.DUMMYFUNCTION("""COMPUTED_VALUE"""),"Medina Capital")</f>
        <v>Medina Capital</v>
      </c>
      <c r="B244" s="1" t="str">
        <f>IFERROR(__xludf.DUMMYFUNCTION("""COMPUTED_VALUE"""),"Venture Capital Fund")</f>
        <v>Venture Capital Fund</v>
      </c>
      <c r="C244" s="7" t="str">
        <f>IFERROR(__xludf.DUMMYFUNCTION("""COMPUTED_VALUE"""),"http://www.medinacapital.com/")</f>
        <v>http://www.medinacapital.com/</v>
      </c>
      <c r="D244" s="1" t="str">
        <f>IFERROR(__xludf.DUMMYFUNCTION("""COMPUTED_VALUE"""),"United States of America")</f>
        <v>United States of America</v>
      </c>
      <c r="E244" s="1"/>
      <c r="F244" s="1"/>
      <c r="G244" s="1"/>
      <c r="H244" s="1"/>
      <c r="I244" s="1"/>
      <c r="J244" s="1"/>
      <c r="K244" s="2"/>
      <c r="L244" s="2"/>
      <c r="M244" s="2"/>
      <c r="N244" s="3"/>
      <c r="O244" s="2" t="str">
        <f>IFERROR(__xludf.DUMMYFUNCTION("""COMPUTED_VALUE"""),"Founded I 2012, Medina Capital is a private equity firm specialized in growth equity investments.")</f>
        <v>Founded I 2012, Medina Capital is a private equity firm specialized in growth equity investments.</v>
      </c>
      <c r="P244" s="1"/>
      <c r="Q244" s="1"/>
      <c r="R244" s="1"/>
      <c r="S244" s="1"/>
      <c r="T244" s="1"/>
      <c r="U244" s="1"/>
      <c r="V244" s="1"/>
      <c r="W244" s="1"/>
      <c r="X244" s="1"/>
      <c r="Y244" s="1"/>
      <c r="Z244" s="1"/>
    </row>
    <row r="245">
      <c r="A245" s="1" t="str">
        <f>IFERROR(__xludf.DUMMYFUNCTION("""COMPUTED_VALUE"""),"Mercado Libre Fund")</f>
        <v>Mercado Libre Fund</v>
      </c>
      <c r="B245" s="1" t="str">
        <f>IFERROR(__xludf.DUMMYFUNCTION("""COMPUTED_VALUE"""),"Corporate Venture Fund")</f>
        <v>Corporate Venture Fund</v>
      </c>
      <c r="C245" s="7" t="str">
        <f>IFERROR(__xludf.DUMMYFUNCTION("""COMPUTED_VALUE"""),"https://www.mercadolibre.com/fund")</f>
        <v>https://www.mercadolibre.com/fund</v>
      </c>
      <c r="D245" s="1" t="str">
        <f>IFERROR(__xludf.DUMMYFUNCTION("""COMPUTED_VALUE"""),"Argentina")</f>
        <v>Argentina</v>
      </c>
      <c r="E245" s="1"/>
      <c r="F245" s="1"/>
      <c r="G245" s="1"/>
      <c r="H245" s="1"/>
      <c r="I245" s="1"/>
      <c r="J245" s="1"/>
      <c r="K245" s="2"/>
      <c r="L245" s="2"/>
      <c r="M245" s="2"/>
      <c r="N245" s="3"/>
      <c r="O245" s="2" t="str">
        <f>IFERROR(__xludf.DUMMYFUNCTION("""COMPUTED_VALUE"""),"We are Mercado Libre’s Corporate Venture Capital Fund. We invest in tech companies that boost the digital ecosystem and democratize commerce and access to capital, by leveraging technology in Latin America.")</f>
        <v>We are Mercado Libre’s Corporate Venture Capital Fund. We invest in tech companies that boost the digital ecosystem and democratize commerce and access to capital, by leveraging technology in Latin America.</v>
      </c>
      <c r="P245" s="1"/>
      <c r="Q245" s="1"/>
      <c r="R245" s="1"/>
      <c r="S245" s="1"/>
      <c r="T245" s="1"/>
      <c r="U245" s="1"/>
      <c r="V245" s="1"/>
      <c r="W245" s="1"/>
      <c r="X245" s="1"/>
      <c r="Y245" s="1"/>
      <c r="Z245" s="1"/>
    </row>
    <row r="246">
      <c r="A246" s="1" t="str">
        <f>IFERROR(__xludf.DUMMYFUNCTION("""COMPUTED_VALUE"""),"Mexamerica Ventures")</f>
        <v>Mexamerica Ventures</v>
      </c>
      <c r="B246" s="1" t="str">
        <f>IFERROR(__xludf.DUMMYFUNCTION("""COMPUTED_VALUE"""),"Venture Capital Fund")</f>
        <v>Venture Capital Fund</v>
      </c>
      <c r="C246" s="1"/>
      <c r="D246" s="1" t="str">
        <f>IFERROR(__xludf.DUMMYFUNCTION("""COMPUTED_VALUE"""),"United States of America")</f>
        <v>United States of America</v>
      </c>
      <c r="E246" s="1"/>
      <c r="F246" s="1" t="str">
        <f>IFERROR(__xludf.DUMMYFUNCTION("""COMPUTED_VALUE"""),"Y")</f>
        <v>Y</v>
      </c>
      <c r="G246" s="1" t="str">
        <f>IFERROR(__xludf.DUMMYFUNCTION("""COMPUTED_VALUE"""),"Y")</f>
        <v>Y</v>
      </c>
      <c r="H246" s="1" t="str">
        <f>IFERROR(__xludf.DUMMYFUNCTION("""COMPUTED_VALUE"""),"Y")</f>
        <v>Y</v>
      </c>
      <c r="I246" s="1"/>
      <c r="J246" s="1"/>
      <c r="K246" s="2"/>
      <c r="L246" s="2"/>
      <c r="M246" s="2" t="str">
        <f>IFERROR(__xludf.DUMMYFUNCTION("""COMPUTED_VALUE"""),"FinTech, HealthTech, EdTech")</f>
        <v>FinTech, HealthTech, EdTech</v>
      </c>
      <c r="N246" s="3"/>
      <c r="O246" s="2" t="str">
        <f>IFERROR(__xludf.DUMMYFUNCTION("""COMPUTED_VALUE"""),"An early-stage fund investing in companies producing social impact in Mexico, Latin America and the U.S. Hispanic Market.")</f>
        <v>An early-stage fund investing in companies producing social impact in Mexico, Latin America and the U.S. Hispanic Market.</v>
      </c>
      <c r="P246" s="1"/>
      <c r="Q246" s="1"/>
      <c r="R246" s="1"/>
      <c r="S246" s="1"/>
      <c r="T246" s="1"/>
      <c r="U246" s="1"/>
      <c r="V246" s="1"/>
      <c r="W246" s="1"/>
      <c r="X246" s="1"/>
      <c r="Y246" s="1"/>
      <c r="Z246" s="1"/>
    </row>
    <row r="247">
      <c r="A247" s="1" t="str">
        <f>IFERROR(__xludf.DUMMYFUNCTION("""COMPUTED_VALUE"""),"Mexico Ventures")</f>
        <v>Mexico Ventures</v>
      </c>
      <c r="B247" s="1" t="str">
        <f>IFERROR(__xludf.DUMMYFUNCTION("""COMPUTED_VALUE"""),"Private Equity Firm")</f>
        <v>Private Equity Firm</v>
      </c>
      <c r="C247" s="7" t="str">
        <f>IFERROR(__xludf.DUMMYFUNCTION("""COMPUTED_VALUE"""),"http://www.fondodefondos.com.mx/en")</f>
        <v>http://www.fondodefondos.com.mx/en</v>
      </c>
      <c r="D247" s="1"/>
      <c r="E247" s="1"/>
      <c r="F247" s="1"/>
      <c r="G247" s="1"/>
      <c r="H247" s="1" t="str">
        <f>IFERROR(__xludf.DUMMYFUNCTION("""COMPUTED_VALUE"""),"Y")</f>
        <v>Y</v>
      </c>
      <c r="I247" s="1" t="str">
        <f>IFERROR(__xludf.DUMMYFUNCTION("""COMPUTED_VALUE"""),"Y")</f>
        <v>Y</v>
      </c>
      <c r="J247" s="1"/>
      <c r="K247" s="2"/>
      <c r="L247" s="2"/>
      <c r="M247" s="2"/>
      <c r="N247" s="3"/>
      <c r="O247" s="2" t="str">
        <f>IFERROR(__xludf.DUMMYFUNCTION("""COMPUTED_VALUE"""),"Mexico Ventures is a leading innovation and entrepreneurial capital fund that provides direct co-investment opportunities to Mexico.")</f>
        <v>Mexico Ventures is a leading innovation and entrepreneurial capital fund that provides direct co-investment opportunities to Mexico.</v>
      </c>
      <c r="P247" s="1"/>
      <c r="Q247" s="1"/>
      <c r="R247" s="1"/>
      <c r="S247" s="1"/>
      <c r="T247" s="1"/>
      <c r="U247" s="1"/>
      <c r="V247" s="1"/>
      <c r="W247" s="1"/>
      <c r="X247" s="1"/>
      <c r="Y247" s="1"/>
      <c r="Z247" s="1"/>
    </row>
    <row r="248">
      <c r="A248" s="1" t="str">
        <f>IFERROR(__xludf.DUMMYFUNCTION("""COMPUTED_VALUE"""),"MidStage Ventures")</f>
        <v>MidStage Ventures</v>
      </c>
      <c r="B248" s="1" t="str">
        <f>IFERROR(__xludf.DUMMYFUNCTION("""COMPUTED_VALUE"""),"Accelerator")</f>
        <v>Accelerator</v>
      </c>
      <c r="C248" s="7" t="str">
        <f>IFERROR(__xludf.DUMMYFUNCTION("""COMPUTED_VALUE"""),"http://midstage.co/")</f>
        <v>http://midstage.co/</v>
      </c>
      <c r="D248" s="1"/>
      <c r="E248" s="1"/>
      <c r="F248" s="1"/>
      <c r="G248" s="1"/>
      <c r="H248" s="1"/>
      <c r="I248" s="1"/>
      <c r="J248" s="1"/>
      <c r="K248" s="2"/>
      <c r="L248" s="2"/>
      <c r="M248" s="2"/>
      <c r="N248" s="3"/>
      <c r="O248" s="2"/>
      <c r="P248" s="1"/>
      <c r="Q248" s="1"/>
      <c r="R248" s="1"/>
      <c r="S248" s="1"/>
      <c r="T248" s="1"/>
      <c r="U248" s="1"/>
      <c r="V248" s="1"/>
      <c r="W248" s="1"/>
      <c r="X248" s="1"/>
      <c r="Y248" s="1"/>
      <c r="Z248" s="1"/>
    </row>
    <row r="249">
      <c r="A249" s="1" t="str">
        <f>IFERROR(__xludf.DUMMYFUNCTION("""COMPUTED_VALUE"""),"MITA Ventures")</f>
        <v>MITA Ventures</v>
      </c>
      <c r="B249" s="1" t="str">
        <f>IFERROR(__xludf.DUMMYFUNCTION("""COMPUTED_VALUE"""),"Venture Capital Fund")</f>
        <v>Venture Capital Fund</v>
      </c>
      <c r="C249" s="7" t="str">
        <f>IFERROR(__xludf.DUMMYFUNCTION("""COMPUTED_VALUE"""),"https://mitaventures.com/")</f>
        <v>https://mitaventures.com/</v>
      </c>
      <c r="D249" s="1" t="str">
        <f>IFERROR(__xludf.DUMMYFUNCTION("""COMPUTED_VALUE"""),"Mexico")</f>
        <v>Mexico</v>
      </c>
      <c r="E249" s="1" t="str">
        <f>IFERROR(__xludf.DUMMYFUNCTION("""COMPUTED_VALUE"""),"Mexico, USA")</f>
        <v>Mexico, USA</v>
      </c>
      <c r="F249" s="1" t="str">
        <f>IFERROR(__xludf.DUMMYFUNCTION("""COMPUTED_VALUE"""),"Y")</f>
        <v>Y</v>
      </c>
      <c r="G249" s="1" t="str">
        <f>IFERROR(__xludf.DUMMYFUNCTION("""COMPUTED_VALUE"""),"Y")</f>
        <v>Y</v>
      </c>
      <c r="H249" s="1" t="str">
        <f>IFERROR(__xludf.DUMMYFUNCTION("""COMPUTED_VALUE"""),"Y")</f>
        <v>Y</v>
      </c>
      <c r="I249" s="1" t="str">
        <f>IFERROR(__xludf.DUMMYFUNCTION("""COMPUTED_VALUE"""),"Y")</f>
        <v>Y</v>
      </c>
      <c r="J249" s="1"/>
      <c r="K249" s="2" t="str">
        <f>IFERROR(__xludf.DUMMYFUNCTION("""COMPUTED_VALUE"""),"Mexico, USA")</f>
        <v>Mexico, USA</v>
      </c>
      <c r="L249" s="2" t="str">
        <f>IFERROR(__xludf.DUMMYFUNCTION("""COMPUTED_VALUE"""),"Pre-Seed/Seed; US$50k-$250k 
Series A US$250k-$2M 
Series B US$3-5M")</f>
        <v>Pre-Seed/Seed; US$50k-$250k 
Series A US$250k-$2M 
Series B US$3-5M</v>
      </c>
      <c r="M249" s="2" t="str">
        <f>IFERROR(__xludf.DUMMYFUNCTION("""COMPUTED_VALUE"""),"FinTech, Enterprise/SaaS, MedTech, EdTech and E-commerce")</f>
        <v>FinTech, Enterprise/SaaS, MedTech, EdTech and E-commerce</v>
      </c>
      <c r="N249" s="3"/>
      <c r="O249" s="2" t="str">
        <f>IFERROR(__xludf.DUMMYFUNCTION("""COMPUTED_VALUE"""),"MITA invests in globally-scalable startups, principally from Mexico or LatAm founder teams, based on strong core enabling technologies.")</f>
        <v>MITA invests in globally-scalable startups, principally from Mexico or LatAm founder teams, based on strong core enabling technologies.</v>
      </c>
      <c r="P249" s="1"/>
      <c r="Q249" s="1"/>
      <c r="R249" s="1"/>
      <c r="S249" s="1"/>
      <c r="T249" s="1"/>
      <c r="U249" s="1"/>
      <c r="V249" s="1"/>
      <c r="W249" s="1"/>
      <c r="X249" s="1"/>
      <c r="Y249" s="1"/>
      <c r="Z249" s="1"/>
    </row>
    <row r="250">
      <c r="A250" s="1" t="str">
        <f>IFERROR(__xludf.DUMMYFUNCTION("""COMPUTED_VALUE"""),"Monashees")</f>
        <v>Monashees</v>
      </c>
      <c r="B250" s="1" t="str">
        <f>IFERROR(__xludf.DUMMYFUNCTION("""COMPUTED_VALUE"""),"Venture Capital Fund")</f>
        <v>Venture Capital Fund</v>
      </c>
      <c r="C250" s="7" t="str">
        <f>IFERROR(__xludf.DUMMYFUNCTION("""COMPUTED_VALUE"""),"http://monashees.com.br")</f>
        <v>http://monashees.com.br</v>
      </c>
      <c r="D250" s="1" t="str">
        <f>IFERROR(__xludf.DUMMYFUNCTION("""COMPUTED_VALUE"""),"Brazil")</f>
        <v>Brazil</v>
      </c>
      <c r="E250" s="1"/>
      <c r="F250" s="1"/>
      <c r="G250" s="1" t="str">
        <f>IFERROR(__xludf.DUMMYFUNCTION("""COMPUTED_VALUE"""),"Y")</f>
        <v>Y</v>
      </c>
      <c r="H250" s="1" t="str">
        <f>IFERROR(__xludf.DUMMYFUNCTION("""COMPUTED_VALUE"""),"Y")</f>
        <v>Y</v>
      </c>
      <c r="I250" s="1"/>
      <c r="J250" s="1"/>
      <c r="K250" s="2"/>
      <c r="L250" s="2"/>
      <c r="M250" s="2"/>
      <c r="N250" s="3"/>
      <c r="O250" s="2" t="str">
        <f>IFERROR(__xludf.DUMMYFUNCTION("""COMPUTED_VALUE"""),"monashees is a Brazilian venture capital firm active globally that invests in entrepreneurs committed to creating innovative solutions for a new world. We invest in the beginning stages and follow alongside the companies that are revolutionizing markets, "&amp;"creating value, and improving people’s lives through technology.")</f>
        <v>monashees is a Brazilian venture capital firm active globally that invests in entrepreneurs committed to creating innovative solutions for a new world. We invest in the beginning stages and follow alongside the companies that are revolutionizing markets, creating value, and improving people’s lives through technology.</v>
      </c>
      <c r="P250" s="1"/>
      <c r="Q250" s="1"/>
      <c r="R250" s="1"/>
      <c r="S250" s="1"/>
      <c r="T250" s="1"/>
      <c r="U250" s="1"/>
      <c r="V250" s="1"/>
      <c r="W250" s="1"/>
      <c r="X250" s="1"/>
      <c r="Y250" s="1"/>
      <c r="Z250" s="1"/>
    </row>
    <row r="251">
      <c r="A251" s="1" t="str">
        <f>IFERROR(__xludf.DUMMYFUNCTION("""COMPUTED_VALUE"""),"Movile")</f>
        <v>Movile</v>
      </c>
      <c r="B251" s="1" t="str">
        <f>IFERROR(__xludf.DUMMYFUNCTION("""COMPUTED_VALUE"""),"Corporate Venture Fund")</f>
        <v>Corporate Venture Fund</v>
      </c>
      <c r="C251" s="7" t="str">
        <f>IFERROR(__xludf.DUMMYFUNCTION("""COMPUTED_VALUE"""),"https://www.movile.com.br/")</f>
        <v>https://www.movile.com.br/</v>
      </c>
      <c r="D251" s="1" t="str">
        <f>IFERROR(__xludf.DUMMYFUNCTION("""COMPUTED_VALUE"""),"Brazil")</f>
        <v>Brazil</v>
      </c>
      <c r="E251" s="1"/>
      <c r="F251" s="1"/>
      <c r="G251" s="1"/>
      <c r="H251" s="1"/>
      <c r="I251" s="1"/>
      <c r="J251" s="1"/>
      <c r="K251" s="2"/>
      <c r="L251" s="2"/>
      <c r="M251" s="2"/>
      <c r="N251" s="3"/>
      <c r="O251" s="2" t="str">
        <f>IFERROR(__xludf.DUMMYFUNCTION("""COMPUTED_VALUE"""),"Movile is a Brazilian mobile commerce platform that dreams to make the lives of a billion people better through their applications.")</f>
        <v>Movile is a Brazilian mobile commerce platform that dreams to make the lives of a billion people better through their applications.</v>
      </c>
      <c r="P251" s="1"/>
      <c r="Q251" s="1"/>
      <c r="R251" s="1"/>
      <c r="S251" s="1"/>
      <c r="T251" s="1"/>
      <c r="U251" s="1"/>
      <c r="V251" s="1"/>
      <c r="W251" s="1"/>
      <c r="X251" s="1"/>
      <c r="Y251" s="1"/>
      <c r="Z251" s="1"/>
    </row>
    <row r="252">
      <c r="A252" s="1" t="str">
        <f>IFERROR(__xludf.DUMMYFUNCTION("""COMPUTED_VALUE"""),"Mr Pink VC")</f>
        <v>Mr Pink VC</v>
      </c>
      <c r="B252" s="1" t="str">
        <f>IFERROR(__xludf.DUMMYFUNCTION("""COMPUTED_VALUE"""),"Venture Capital Fund")</f>
        <v>Venture Capital Fund</v>
      </c>
      <c r="C252" s="7" t="str">
        <f>IFERROR(__xludf.DUMMYFUNCTION("""COMPUTED_VALUE"""),"https://mrpink.vc/")</f>
        <v>https://mrpink.vc/</v>
      </c>
      <c r="D252" s="1" t="str">
        <f>IFERROR(__xludf.DUMMYFUNCTION("""COMPUTED_VALUE"""),"Argentina")</f>
        <v>Argentina</v>
      </c>
      <c r="E252" s="1"/>
      <c r="F252" s="1"/>
      <c r="G252" s="1"/>
      <c r="H252" s="1"/>
      <c r="I252" s="1"/>
      <c r="J252" s="1"/>
      <c r="K252" s="2"/>
      <c r="L252" s="2"/>
      <c r="M252" s="2"/>
      <c r="N252" s="3"/>
      <c r="O252" s="2" t="str">
        <f>IFERROR(__xludf.DUMMYFUNCTION("""COMPUTED_VALUE"""),"MrPink is VC seed fund that invests in Founders located in Colombia, Peru, Chile, Argentina, and Uruguay, that address large regional or global challenges.")</f>
        <v>MrPink is VC seed fund that invests in Founders located in Colombia, Peru, Chile, Argentina, and Uruguay, that address large regional or global challenges.</v>
      </c>
      <c r="P252" s="1"/>
      <c r="Q252" s="1"/>
      <c r="R252" s="1"/>
      <c r="S252" s="1"/>
      <c r="T252" s="1"/>
      <c r="U252" s="1"/>
      <c r="V252" s="1"/>
      <c r="W252" s="1"/>
      <c r="X252" s="1"/>
      <c r="Y252" s="1"/>
      <c r="Z252" s="1"/>
    </row>
    <row r="253">
      <c r="A253" s="1" t="str">
        <f>IFERROR(__xludf.DUMMYFUNCTION("""COMPUTED_VALUE"""),"MSW Capital")</f>
        <v>MSW Capital</v>
      </c>
      <c r="B253" s="1" t="str">
        <f>IFERROR(__xludf.DUMMYFUNCTION("""COMPUTED_VALUE"""),"Venture Capital Fund")</f>
        <v>Venture Capital Fund</v>
      </c>
      <c r="C253" s="7" t="str">
        <f>IFERROR(__xludf.DUMMYFUNCTION("""COMPUTED_VALUE"""),"http://mswbrstartups.com.br/")</f>
        <v>http://mswbrstartups.com.br/</v>
      </c>
      <c r="D253" s="1" t="str">
        <f>IFERROR(__xludf.DUMMYFUNCTION("""COMPUTED_VALUE"""),"Brazil")</f>
        <v>Brazil</v>
      </c>
      <c r="E253" s="1"/>
      <c r="F253" s="1"/>
      <c r="G253" s="1"/>
      <c r="H253" s="1"/>
      <c r="I253" s="1"/>
      <c r="J253" s="1"/>
      <c r="K253" s="2"/>
      <c r="L253" s="2"/>
      <c r="M253" s="2"/>
      <c r="N253" s="3"/>
      <c r="O253" s="2" t="str">
        <f>IFERROR(__xludf.DUMMYFUNCTION("""COMPUTED_VALUE"""),"MSW CAPITAL is a venture capital manager specializing in working with corporations to strengthen its external innovation strategy.")</f>
        <v>MSW CAPITAL is a venture capital manager specializing in working with corporations to strengthen its external innovation strategy.</v>
      </c>
      <c r="P253" s="1"/>
      <c r="Q253" s="1"/>
      <c r="R253" s="1"/>
      <c r="S253" s="1"/>
      <c r="T253" s="1"/>
      <c r="U253" s="1"/>
      <c r="V253" s="1"/>
      <c r="W253" s="1"/>
      <c r="X253" s="1"/>
      <c r="Y253" s="1"/>
      <c r="Z253" s="1"/>
    </row>
    <row r="254">
      <c r="A254" s="1" t="str">
        <f>IFERROR(__xludf.DUMMYFUNCTION("""COMPUTED_VALUE"""),"Mubadala")</f>
        <v>Mubadala</v>
      </c>
      <c r="B254" s="1" t="str">
        <f>IFERROR(__xludf.DUMMYFUNCTION("""COMPUTED_VALUE"""),"Venture Capital Fund")</f>
        <v>Venture Capital Fund</v>
      </c>
      <c r="C254" s="7" t="str">
        <f>IFERROR(__xludf.DUMMYFUNCTION("""COMPUTED_VALUE"""),"https://www.mubadala.com/")</f>
        <v>https://www.mubadala.com/</v>
      </c>
      <c r="D254" s="1" t="str">
        <f>IFERROR(__xludf.DUMMYFUNCTION("""COMPUTED_VALUE"""),"United Arab Emirates")</f>
        <v>United Arab Emirates</v>
      </c>
      <c r="E254" s="1"/>
      <c r="F254" s="1"/>
      <c r="G254" s="1"/>
      <c r="H254" s="1"/>
      <c r="I254" s="1"/>
      <c r="J254" s="1"/>
      <c r="K254" s="2"/>
      <c r="L254" s="2"/>
      <c r="M254" s="2"/>
      <c r="N254" s="3"/>
      <c r="O254" s="2" t="str">
        <f>IFERROR(__xludf.DUMMYFUNCTION("""COMPUTED_VALUE"""),"Mubadala is a sovereign investor managing a diverse portfolio of assets in the UAE and abroad.")</f>
        <v>Mubadala is a sovereign investor managing a diverse portfolio of assets in the UAE and abroad.</v>
      </c>
      <c r="P254" s="1"/>
      <c r="Q254" s="1"/>
      <c r="R254" s="1"/>
      <c r="S254" s="1"/>
      <c r="T254" s="1"/>
      <c r="U254" s="1"/>
      <c r="V254" s="1"/>
      <c r="W254" s="1"/>
      <c r="X254" s="1"/>
      <c r="Y254" s="1"/>
      <c r="Z254" s="1"/>
    </row>
    <row r="255">
      <c r="A255" s="1" t="str">
        <f>IFERROR(__xludf.DUMMYFUNCTION("""COMPUTED_VALUE"""),"Nazca (Mountain Nazca)")</f>
        <v>Nazca (Mountain Nazca)</v>
      </c>
      <c r="B255" s="1" t="str">
        <f>IFERROR(__xludf.DUMMYFUNCTION("""COMPUTED_VALUE"""),"Venture Capital Fund")</f>
        <v>Venture Capital Fund</v>
      </c>
      <c r="C255" s="7" t="str">
        <f>IFERROR(__xludf.DUMMYFUNCTION("""COMPUTED_VALUE"""),"https://www.nazca.vc/")</f>
        <v>https://www.nazca.vc/</v>
      </c>
      <c r="D255" s="1" t="str">
        <f>IFERROR(__xludf.DUMMYFUNCTION("""COMPUTED_VALUE"""),"Mexico")</f>
        <v>Mexico</v>
      </c>
      <c r="E255" s="1"/>
      <c r="F255" s="1"/>
      <c r="G255" s="1" t="str">
        <f>IFERROR(__xludf.DUMMYFUNCTION("""COMPUTED_VALUE"""),"Y")</f>
        <v>Y</v>
      </c>
      <c r="H255" s="1" t="str">
        <f>IFERROR(__xludf.DUMMYFUNCTION("""COMPUTED_VALUE"""),"Y")</f>
        <v>Y</v>
      </c>
      <c r="I255" s="1"/>
      <c r="J255" s="1"/>
      <c r="K255" s="2"/>
      <c r="L255" s="2"/>
      <c r="M255" s="2"/>
      <c r="N255" s="3"/>
      <c r="O255" s="2" t="str">
        <f>IFERROR(__xludf.DUMMYFUNCTION("""COMPUTED_VALUE"""),"Mountain Nazca is a cloudless Venture Capital firm that backs bold entrepreneurs who seek to build tomorrow’s breakout and transforming technology-enabled businesses.")</f>
        <v>Mountain Nazca is a cloudless Venture Capital firm that backs bold entrepreneurs who seek to build tomorrow’s breakout and transforming technology-enabled businesses.</v>
      </c>
      <c r="P255" s="1"/>
      <c r="Q255" s="1"/>
      <c r="R255" s="1"/>
      <c r="S255" s="1"/>
      <c r="T255" s="1"/>
      <c r="U255" s="1"/>
      <c r="V255" s="1"/>
      <c r="W255" s="1"/>
      <c r="X255" s="1"/>
      <c r="Y255" s="1"/>
      <c r="Z255" s="1"/>
    </row>
    <row r="256">
      <c r="A256" s="1" t="str">
        <f>IFERROR(__xludf.DUMMYFUNCTION("""COMPUTED_VALUE"""),"Neek’ Capital")</f>
        <v>Neek’ Capital</v>
      </c>
      <c r="B256" s="1" t="str">
        <f>IFERROR(__xludf.DUMMYFUNCTION("""COMPUTED_VALUE"""),"Venture Capital Fund")</f>
        <v>Venture Capital Fund</v>
      </c>
      <c r="C256" s="7" t="str">
        <f>IFERROR(__xludf.DUMMYFUNCTION("""COMPUTED_VALUE"""),"https://www.neekcapital.mx/")</f>
        <v>https://www.neekcapital.mx/</v>
      </c>
      <c r="D256" s="1" t="str">
        <f>IFERROR(__xludf.DUMMYFUNCTION("""COMPUTED_VALUE"""),"Mexico")</f>
        <v>Mexico</v>
      </c>
      <c r="E256" s="1"/>
      <c r="F256" s="1"/>
      <c r="G256" s="1"/>
      <c r="H256" s="1"/>
      <c r="I256" s="1"/>
      <c r="J256" s="1"/>
      <c r="K256" s="2"/>
      <c r="L256" s="2"/>
      <c r="M256" s="2"/>
      <c r="N256" s="3"/>
      <c r="O256" s="2" t="str">
        <f>IFERROR(__xludf.DUMMYFUNCTION("""COMPUTED_VALUE"""),"Neek’ Capital strives to scale up the restoration and conservation of ecosystems at landscape level, and accelerate a transition towards a circular and resilient economy in cities and rural environments.
We aim to accomplish this by mainstreaming sustaina"&amp;"bly sound business models that achieve competitive financial returns and strengthen the resilience in communities and people’s livelihoods.
Our mission is to provide financing and technical assistance to promising ventures with growth potential aimed at s"&amp;"olving challenges posed by the sustainable use of natural resources under a climate constrained world including energy, water and food systems (agriculture, forestry and aquaculture)")</f>
        <v>Neek’ Capital strives to scale up the restoration and conservation of ecosystems at landscape level, and accelerate a transition towards a circular and resilient economy in cities and rural environments.
We aim to accomplish this by mainstreaming sustainably sound business models that achieve competitive financial returns and strengthen the resilience in communities and people’s livelihoods.
Our mission is to provide financing and technical assistance to promising ventures with growth potential aimed at solving challenges posed by the sustainable use of natural resources under a climate constrained world including energy, water and food systems (agriculture, forestry and aquaculture)</v>
      </c>
      <c r="P256" s="1"/>
      <c r="Q256" s="1"/>
      <c r="R256" s="1"/>
      <c r="S256" s="1"/>
      <c r="T256" s="1"/>
      <c r="U256" s="1"/>
      <c r="V256" s="1"/>
      <c r="W256" s="1"/>
      <c r="X256" s="1"/>
      <c r="Y256" s="1"/>
      <c r="Z256" s="1"/>
    </row>
    <row r="257">
      <c r="A257" s="1" t="str">
        <f>IFERROR(__xludf.DUMMYFUNCTION("""COMPUTED_VALUE"""),"Nerdcube")</f>
        <v>Nerdcube</v>
      </c>
      <c r="B257" s="1" t="str">
        <f>IFERROR(__xludf.DUMMYFUNCTION("""COMPUTED_VALUE"""),"Accelerator")</f>
        <v>Accelerator</v>
      </c>
      <c r="C257" s="7" t="str">
        <f>IFERROR(__xludf.DUMMYFUNCTION("""COMPUTED_VALUE"""),"http://www.nerdcube.club/")</f>
        <v>http://www.nerdcube.club/</v>
      </c>
      <c r="D257" s="1" t="str">
        <f>IFERROR(__xludf.DUMMYFUNCTION("""COMPUTED_VALUE"""),"Argentina")</f>
        <v>Argentina</v>
      </c>
      <c r="E257" s="1"/>
      <c r="F257" s="1"/>
      <c r="G257" s="1"/>
      <c r="H257" s="1"/>
      <c r="I257" s="1"/>
      <c r="J257" s="1"/>
      <c r="K257" s="2"/>
      <c r="L257" s="2"/>
      <c r="M257" s="2"/>
      <c r="N257" s="3"/>
      <c r="O257" s="2" t="str">
        <f>IFERROR(__xludf.DUMMYFUNCTION("""COMPUTED_VALUE"""),"At Nerdcube we inspire, incubate and accelerate workgroups and companies.")</f>
        <v>At Nerdcube we inspire, incubate and accelerate workgroups and companies.</v>
      </c>
      <c r="P257" s="1"/>
      <c r="Q257" s="1"/>
      <c r="R257" s="1"/>
      <c r="S257" s="1"/>
      <c r="T257" s="1"/>
      <c r="U257" s="1"/>
      <c r="V257" s="1"/>
      <c r="W257" s="1"/>
      <c r="X257" s="1"/>
      <c r="Y257" s="1"/>
      <c r="Z257" s="1"/>
    </row>
    <row r="258">
      <c r="A258" s="1" t="str">
        <f>IFERROR(__xludf.DUMMYFUNCTION("""COMPUTED_VALUE"""),"New Ventures")</f>
        <v>New Ventures</v>
      </c>
      <c r="B258" s="1" t="str">
        <f>IFERROR(__xludf.DUMMYFUNCTION("""COMPUTED_VALUE"""),"Impact Investment Fund")</f>
        <v>Impact Investment Fund</v>
      </c>
      <c r="C258" s="7" t="str">
        <f>IFERROR(__xludf.DUMMYFUNCTION("""COMPUTED_VALUE"""),"https://nvgroup.org/")</f>
        <v>https://nvgroup.org/</v>
      </c>
      <c r="D258" s="1" t="str">
        <f>IFERROR(__xludf.DUMMYFUNCTION("""COMPUTED_VALUE"""),"Mexico")</f>
        <v>Mexico</v>
      </c>
      <c r="E258" s="1"/>
      <c r="F258" s="1"/>
      <c r="G258" s="1"/>
      <c r="H258" s="1" t="str">
        <f>IFERROR(__xludf.DUMMYFUNCTION("""COMPUTED_VALUE"""),"Y")</f>
        <v>Y</v>
      </c>
      <c r="I258" s="1"/>
      <c r="J258" s="1"/>
      <c r="K258" s="2"/>
      <c r="L258" s="2"/>
      <c r="M258" s="2"/>
      <c r="N258" s="3"/>
      <c r="O258" s="2" t="str">
        <f>IFERROR(__xludf.DUMMYFUNCTION("""COMPUTED_VALUE"""),"New Ventures is a platform that finances and promotes businesses accelerates social and environmental impact.")</f>
        <v>New Ventures is a platform that finances and promotes businesses accelerates social and environmental impact.</v>
      </c>
      <c r="P258" s="1"/>
      <c r="Q258" s="1"/>
      <c r="R258" s="1"/>
      <c r="S258" s="1"/>
      <c r="T258" s="1"/>
      <c r="U258" s="1"/>
      <c r="V258" s="1"/>
      <c r="W258" s="1"/>
      <c r="X258" s="1"/>
      <c r="Y258" s="1"/>
      <c r="Z258" s="1"/>
    </row>
    <row r="259">
      <c r="A259" s="1" t="str">
        <f>IFERROR(__xludf.DUMMYFUNCTION("""COMPUTED_VALUE"""),"Next Billion Ventures")</f>
        <v>Next Billion Ventures</v>
      </c>
      <c r="B259" s="1" t="str">
        <f>IFERROR(__xludf.DUMMYFUNCTION("""COMPUTED_VALUE"""),"Venture Capital Fund")</f>
        <v>Venture Capital Fund</v>
      </c>
      <c r="C259" s="7" t="str">
        <f>IFERROR(__xludf.DUMMYFUNCTION("""COMPUTED_VALUE"""),"https://www.nextbillionvc.com/")</f>
        <v>https://www.nextbillionvc.com/</v>
      </c>
      <c r="D259" s="1" t="str">
        <f>IFERROR(__xludf.DUMMYFUNCTION("""COMPUTED_VALUE"""),"United States of America")</f>
        <v>United States of America</v>
      </c>
      <c r="E259" s="1"/>
      <c r="F259" s="1" t="str">
        <f>IFERROR(__xludf.DUMMYFUNCTION("""COMPUTED_VALUE"""),"Y")</f>
        <v>Y</v>
      </c>
      <c r="G259" s="1" t="str">
        <f>IFERROR(__xludf.DUMMYFUNCTION("""COMPUTED_VALUE"""),"Y")</f>
        <v>Y</v>
      </c>
      <c r="H259" s="1" t="str">
        <f>IFERROR(__xludf.DUMMYFUNCTION("""COMPUTED_VALUE"""),"Y")</f>
        <v>Y</v>
      </c>
      <c r="I259" s="1"/>
      <c r="J259" s="1"/>
      <c r="K259" s="2"/>
      <c r="L259" s="2"/>
      <c r="M259" s="2"/>
      <c r="N259" s="3"/>
      <c r="O259" s="2" t="str">
        <f>IFERROR(__xludf.DUMMYFUNCTION("""COMPUTED_VALUE"""),"NBV is a venture capital firm investing in entrepreneurs serving the next billion digital consumers and small businesses.")</f>
        <v>NBV is a venture capital firm investing in entrepreneurs serving the next billion digital consumers and small businesses.</v>
      </c>
      <c r="P259" s="1"/>
      <c r="Q259" s="1"/>
      <c r="R259" s="1"/>
      <c r="S259" s="1"/>
      <c r="T259" s="1"/>
      <c r="U259" s="1"/>
      <c r="V259" s="1"/>
      <c r="W259" s="1"/>
      <c r="X259" s="1"/>
      <c r="Y259" s="1"/>
      <c r="Z259" s="1"/>
    </row>
    <row r="260">
      <c r="A260" s="1" t="str">
        <f>IFERROR(__xludf.DUMMYFUNCTION("""COMPUTED_VALUE"""),"Nilo Ventures")</f>
        <v>Nilo Ventures</v>
      </c>
      <c r="B260" s="1" t="str">
        <f>IFERROR(__xludf.DUMMYFUNCTION("""COMPUTED_VALUE"""),"Venture Capital Fund")</f>
        <v>Venture Capital Fund</v>
      </c>
      <c r="C260" s="7" t="str">
        <f>IFERROR(__xludf.DUMMYFUNCTION("""COMPUTED_VALUE"""),"https://www.niloventures.com/")</f>
        <v>https://www.niloventures.com/</v>
      </c>
      <c r="D260" s="1" t="str">
        <f>IFERROR(__xludf.DUMMYFUNCTION("""COMPUTED_VALUE"""),"United States of America")</f>
        <v>United States of America</v>
      </c>
      <c r="E260" s="1"/>
      <c r="F260" s="1"/>
      <c r="G260" s="1" t="str">
        <f>IFERROR(__xludf.DUMMYFUNCTION("""COMPUTED_VALUE"""),"Y")</f>
        <v>Y</v>
      </c>
      <c r="H260" s="1"/>
      <c r="I260" s="1"/>
      <c r="J260" s="1"/>
      <c r="K260" s="2"/>
      <c r="L260" s="2"/>
      <c r="M260" s="2"/>
      <c r="N260" s="3"/>
      <c r="O260" s="2" t="str">
        <f>IFERROR(__xludf.DUMMYFUNCTION("""COMPUTED_VALUE"""),"We are a group of tech founders who have built technology driven ventures to solve big problems. We believe a number of industries in Latin America are ripe for disruption and will invest in the entrepreneurs leading the charge.")</f>
        <v>We are a group of tech founders who have built technology driven ventures to solve big problems. We believe a number of industries in Latin America are ripe for disruption and will invest in the entrepreneurs leading the charge.</v>
      </c>
      <c r="P260" s="1"/>
      <c r="Q260" s="1"/>
      <c r="R260" s="1"/>
      <c r="S260" s="1"/>
      <c r="T260" s="1"/>
      <c r="U260" s="1"/>
      <c r="V260" s="1"/>
      <c r="W260" s="1"/>
      <c r="X260" s="1"/>
      <c r="Y260" s="1"/>
      <c r="Z260" s="1"/>
    </row>
    <row r="261">
      <c r="A261" s="1" t="str">
        <f>IFERROR(__xludf.DUMMYFUNCTION("""COMPUTED_VALUE"""),"Numa Mexico")</f>
        <v>Numa Mexico</v>
      </c>
      <c r="B261" s="1" t="str">
        <f>IFERROR(__xludf.DUMMYFUNCTION("""COMPUTED_VALUE"""),"Accelerator")</f>
        <v>Accelerator</v>
      </c>
      <c r="C261" s="7" t="str">
        <f>IFERROR(__xludf.DUMMYFUNCTION("""COMPUTED_VALUE"""),"https://www.mexico.numa.co/")</f>
        <v>https://www.mexico.numa.co/</v>
      </c>
      <c r="D261" s="1" t="str">
        <f>IFERROR(__xludf.DUMMYFUNCTION("""COMPUTED_VALUE"""),"Mexico")</f>
        <v>Mexico</v>
      </c>
      <c r="E261" s="1"/>
      <c r="F261" s="1"/>
      <c r="G261" s="1"/>
      <c r="H261" s="1"/>
      <c r="I261" s="1"/>
      <c r="J261" s="1"/>
      <c r="K261" s="2"/>
      <c r="L261" s="2"/>
      <c r="M261" s="2"/>
      <c r="N261" s="3"/>
      <c r="O261" s="2" t="str">
        <f>IFERROR(__xludf.DUMMYFUNCTION("""COMPUTED_VALUE"""),"NUMA is a innovation hub which brings together community events, startup acceleration, and innovation programs for corporates.")</f>
        <v>NUMA is a innovation hub which brings together community events, startup acceleration, and innovation programs for corporates.</v>
      </c>
      <c r="P261" s="1" t="str">
        <f>IFERROR(__xludf.DUMMYFUNCTION("""COMPUTED_VALUE"""),"Closed")</f>
        <v>Closed</v>
      </c>
      <c r="Q261" s="1"/>
      <c r="R261" s="1"/>
      <c r="S261" s="1"/>
      <c r="T261" s="1"/>
      <c r="U261" s="1"/>
      <c r="V261" s="1"/>
      <c r="W261" s="1"/>
      <c r="X261" s="1"/>
      <c r="Y261" s="1"/>
      <c r="Z261" s="1"/>
    </row>
    <row r="262">
      <c r="A262" s="1" t="str">
        <f>IFERROR(__xludf.DUMMYFUNCTION("""COMPUTED_VALUE"""),"NXTP Labs")</f>
        <v>NXTP Labs</v>
      </c>
      <c r="B262" s="1" t="str">
        <f>IFERROR(__xludf.DUMMYFUNCTION("""COMPUTED_VALUE"""),"Accelerator")</f>
        <v>Accelerator</v>
      </c>
      <c r="C262" s="7" t="str">
        <f>IFERROR(__xludf.DUMMYFUNCTION("""COMPUTED_VALUE"""),"https://www.nxtplabs.com/")</f>
        <v>https://www.nxtplabs.com/</v>
      </c>
      <c r="D262" s="1" t="str">
        <f>IFERROR(__xludf.DUMMYFUNCTION("""COMPUTED_VALUE"""),"Argentina")</f>
        <v>Argentina</v>
      </c>
      <c r="E262" s="1"/>
      <c r="F262" s="1" t="str">
        <f>IFERROR(__xludf.DUMMYFUNCTION("""COMPUTED_VALUE"""),"Y")</f>
        <v>Y</v>
      </c>
      <c r="G262" s="1" t="str">
        <f>IFERROR(__xludf.DUMMYFUNCTION("""COMPUTED_VALUE"""),"Y")</f>
        <v>Y</v>
      </c>
      <c r="H262" s="1"/>
      <c r="I262" s="1"/>
      <c r="J262" s="1"/>
      <c r="K262" s="2"/>
      <c r="L262" s="2"/>
      <c r="M262" s="2"/>
      <c r="N262" s="3"/>
      <c r="O262" s="2" t="str">
        <f>IFERROR(__xludf.DUMMYFUNCTION("""COMPUTED_VALUE"""),"NXTP Ventures backs early-stage technology companies led by extraordinary entrepreneurs throughout Latin America.")</f>
        <v>NXTP Ventures backs early-stage technology companies led by extraordinary entrepreneurs throughout Latin America.</v>
      </c>
      <c r="P262" s="1" t="str">
        <f>IFERROR(__xludf.DUMMYFUNCTION("""COMPUTED_VALUE"""),"Closed")</f>
        <v>Closed</v>
      </c>
      <c r="Q262" s="1"/>
      <c r="R262" s="1"/>
      <c r="S262" s="1"/>
      <c r="T262" s="1"/>
      <c r="U262" s="1"/>
      <c r="V262" s="1"/>
      <c r="W262" s="1"/>
      <c r="X262" s="1"/>
      <c r="Y262" s="1"/>
      <c r="Z262" s="1"/>
    </row>
    <row r="263">
      <c r="A263" s="1" t="str">
        <f>IFERROR(__xludf.DUMMYFUNCTION("""COMPUTED_VALUE"""),"NXTP Ventures")</f>
        <v>NXTP Ventures</v>
      </c>
      <c r="B263" s="1" t="str">
        <f>IFERROR(__xludf.DUMMYFUNCTION("""COMPUTED_VALUE"""),"Venture Capital Fund")</f>
        <v>Venture Capital Fund</v>
      </c>
      <c r="C263" s="7" t="str">
        <f>IFERROR(__xludf.DUMMYFUNCTION("""COMPUTED_VALUE"""),"https://www.nxtplabs.com/")</f>
        <v>https://www.nxtplabs.com/</v>
      </c>
      <c r="D263" s="1" t="str">
        <f>IFERROR(__xludf.DUMMYFUNCTION("""COMPUTED_VALUE"""),"Argentina")</f>
        <v>Argentina</v>
      </c>
      <c r="E263" s="1"/>
      <c r="F263" s="1"/>
      <c r="G263" s="1" t="str">
        <f>IFERROR(__xludf.DUMMYFUNCTION("""COMPUTED_VALUE"""),"Y")</f>
        <v>Y</v>
      </c>
      <c r="H263" s="1" t="str">
        <f>IFERROR(__xludf.DUMMYFUNCTION("""COMPUTED_VALUE"""),"Y")</f>
        <v>Y</v>
      </c>
      <c r="I263" s="1" t="str">
        <f>IFERROR(__xludf.DUMMYFUNCTION("""COMPUTED_VALUE"""),"Y")</f>
        <v>Y</v>
      </c>
      <c r="J263" s="1"/>
      <c r="K263" s="2"/>
      <c r="L263" s="2"/>
      <c r="M263" s="2"/>
      <c r="N263" s="3"/>
      <c r="O263" s="2" t="str">
        <f>IFERROR(__xludf.DUMMYFUNCTION("""COMPUTED_VALUE"""),"NXTP Ventures backs early-stage technology companies led by extraordinary entrepreneurs throughout Latin America.")</f>
        <v>NXTP Ventures backs early-stage technology companies led by extraordinary entrepreneurs throughout Latin America.</v>
      </c>
      <c r="P263" s="1"/>
      <c r="Q263" s="1"/>
      <c r="R263" s="1"/>
      <c r="S263" s="1"/>
      <c r="T263" s="1"/>
      <c r="U263" s="1"/>
      <c r="V263" s="1"/>
      <c r="W263" s="1"/>
      <c r="X263" s="1"/>
      <c r="Y263" s="1"/>
      <c r="Z263" s="1"/>
    </row>
    <row r="264">
      <c r="A264" s="1" t="str">
        <f>IFERROR(__xludf.DUMMYFUNCTION("""COMPUTED_VALUE"""),"Oikocredit")</f>
        <v>Oikocredit</v>
      </c>
      <c r="B264" s="1" t="str">
        <f>IFERROR(__xludf.DUMMYFUNCTION("""COMPUTED_VALUE"""),"Venture Capital Fund")</f>
        <v>Venture Capital Fund</v>
      </c>
      <c r="C264" s="7" t="str">
        <f>IFERROR(__xludf.DUMMYFUNCTION("""COMPUTED_VALUE"""),"https://www.oikocredit.coop/en/")</f>
        <v>https://www.oikocredit.coop/en/</v>
      </c>
      <c r="D264" s="1" t="str">
        <f>IFERROR(__xludf.DUMMYFUNCTION("""COMPUTED_VALUE"""),"The Netherlands")</f>
        <v>The Netherlands</v>
      </c>
      <c r="E264" s="1"/>
      <c r="F264" s="1"/>
      <c r="G264" s="1"/>
      <c r="H264" s="1" t="str">
        <f>IFERROR(__xludf.DUMMYFUNCTION("""COMPUTED_VALUE"""),"Y")</f>
        <v>Y</v>
      </c>
      <c r="I264" s="1" t="str">
        <f>IFERROR(__xludf.DUMMYFUNCTION("""COMPUTED_VALUE"""),"Y")</f>
        <v>Y</v>
      </c>
      <c r="J264" s="1"/>
      <c r="K264" s="2"/>
      <c r="L264" s="2" t="str">
        <f>IFERROR(__xludf.DUMMYFUNCTION("""COMPUTED_VALUE"""),"1M - 10M USD")</f>
        <v>1M - 10M USD</v>
      </c>
      <c r="M264" s="2"/>
      <c r="N264" s="3"/>
      <c r="O264" s="2" t="str">
        <f>IFERROR(__xludf.DUMMYFUNCTION("""COMPUTED_VALUE"""),"Oikocredit is a social impact investor and worldwide cooperative with over four decades of experience in promoting sustainable development through investments in financial inclusion, agriculture and renewable energy.")</f>
        <v>Oikocredit is a social impact investor and worldwide cooperative with over four decades of experience in promoting sustainable development through investments in financial inclusion, agriculture and renewable energy.</v>
      </c>
      <c r="P264" s="1"/>
      <c r="Q264" s="1"/>
      <c r="R264" s="1"/>
      <c r="S264" s="1"/>
      <c r="T264" s="1"/>
      <c r="U264" s="1"/>
      <c r="V264" s="1"/>
      <c r="W264" s="1"/>
      <c r="X264" s="1"/>
      <c r="Y264" s="1"/>
      <c r="Z264" s="1"/>
    </row>
    <row r="265">
      <c r="A265" s="1" t="str">
        <f>IFERROR(__xludf.DUMMYFUNCTION("""COMPUTED_VALUE"""),"Okios")</f>
        <v>Okios</v>
      </c>
      <c r="B265" s="1" t="str">
        <f>IFERROR(__xludf.DUMMYFUNCTION("""COMPUTED_VALUE"""),"Venture Capital Fund")</f>
        <v>Venture Capital Fund</v>
      </c>
      <c r="C265" s="7" t="str">
        <f>IFERROR(__xludf.DUMMYFUNCTION("""COMPUTED_VALUE"""),"http://oikos.vc/")</f>
        <v>http://oikos.vc/</v>
      </c>
      <c r="D265" s="1" t="str">
        <f>IFERROR(__xludf.DUMMYFUNCTION("""COMPUTED_VALUE"""),"Argentina")</f>
        <v>Argentina</v>
      </c>
      <c r="E265" s="1"/>
      <c r="F265" s="1"/>
      <c r="G265" s="1" t="str">
        <f>IFERROR(__xludf.DUMMYFUNCTION("""COMPUTED_VALUE"""),"Y")</f>
        <v>Y</v>
      </c>
      <c r="H265" s="1" t="str">
        <f>IFERROR(__xludf.DUMMYFUNCTION("""COMPUTED_VALUE"""),"Y")</f>
        <v>Y</v>
      </c>
      <c r="I265" s="1" t="str">
        <f>IFERROR(__xludf.DUMMYFUNCTION("""COMPUTED_VALUE"""),"Y")</f>
        <v>Y</v>
      </c>
      <c r="J265" s="1"/>
      <c r="K265" s="2"/>
      <c r="L265" s="2"/>
      <c r="M265" s="2" t="str">
        <f>IFERROR(__xludf.DUMMYFUNCTION("""COMPUTED_VALUE"""),"Agriculture, FoodTech")</f>
        <v>Agriculture, FoodTech</v>
      </c>
      <c r="N265" s="3"/>
      <c r="O265" s="2" t="str">
        <f>IFERROR(__xludf.DUMMYFUNCTION("""COMPUTED_VALUE"""),"Oikos is a Venture Capital Fund that invests in Agtech &amp; Foodtech companies (Seed, Series A and Growth)")</f>
        <v>Oikos is a Venture Capital Fund that invests in Agtech &amp; Foodtech companies (Seed, Series A and Growth)</v>
      </c>
      <c r="P265" s="1"/>
      <c r="Q265" s="1"/>
      <c r="R265" s="1"/>
      <c r="S265" s="1"/>
      <c r="T265" s="1"/>
      <c r="U265" s="1"/>
      <c r="V265" s="1"/>
      <c r="W265" s="1"/>
      <c r="X265" s="1"/>
      <c r="Y265" s="1"/>
      <c r="Z265" s="1"/>
    </row>
    <row r="266" hidden="1">
      <c r="A266" s="1" t="str">
        <f>IFERROR(__xludf.DUMMYFUNCTION("""COMPUTED_VALUE"""),"Omidyar Network")</f>
        <v>Omidyar Network</v>
      </c>
      <c r="B266" s="1" t="str">
        <f>IFERROR(__xludf.DUMMYFUNCTION("""COMPUTED_VALUE"""),"Family Office")</f>
        <v>Family Office</v>
      </c>
      <c r="C266" s="1"/>
      <c r="D266" s="1" t="str">
        <f>IFERROR(__xludf.DUMMYFUNCTION("""COMPUTED_VALUE"""),"United States of America")</f>
        <v>United States of America</v>
      </c>
      <c r="E266" s="1"/>
      <c r="F266" s="1"/>
      <c r="G266" s="1"/>
      <c r="H266" s="1"/>
      <c r="I266" s="1"/>
      <c r="J266" s="1"/>
      <c r="K266" s="8" t="str">
        <f>IFERROR(__xludf.DUMMYFUNCTION("""COMPUTED_VALUE"""),"https://www.linkedin.com/company/omidyar-network/")</f>
        <v>https://www.linkedin.com/company/omidyar-network/</v>
      </c>
      <c r="L266" s="2"/>
      <c r="M266" s="2"/>
      <c r="N266" s="3" t="str">
        <f>IFERROR(__xludf.DUMMYFUNCTION("""COMPUTED_VALUE"""),"Education, Emerging Tech, Financial Inclusion, Governance and citizen engagement, property rights, market building")</f>
        <v>Education, Emerging Tech, Financial Inclusion, Governance and citizen engagement, property rights, market building</v>
      </c>
      <c r="O266" s="2"/>
      <c r="P266" s="1"/>
      <c r="Q266" s="1"/>
      <c r="R266" s="1"/>
      <c r="S266" s="1"/>
      <c r="T266" s="1"/>
      <c r="U266" s="1"/>
      <c r="V266" s="1"/>
      <c r="W266" s="1"/>
      <c r="X266" s="1"/>
      <c r="Y266" s="1"/>
      <c r="Z266" s="1"/>
    </row>
    <row r="267">
      <c r="A267" s="1" t="str">
        <f>IFERROR(__xludf.DUMMYFUNCTION("""COMPUTED_VALUE"""),"ON Ventures")</f>
        <v>ON Ventures</v>
      </c>
      <c r="B267" s="1" t="str">
        <f>IFERROR(__xludf.DUMMYFUNCTION("""COMPUTED_VALUE"""),"Venture Capital Fund")</f>
        <v>Venture Capital Fund</v>
      </c>
      <c r="C267" s="7" t="str">
        <f>IFERROR(__xludf.DUMMYFUNCTION("""COMPUTED_VALUE"""),"www.onventures.mx/")</f>
        <v>www.onventures.mx/</v>
      </c>
      <c r="D267" s="1" t="str">
        <f>IFERROR(__xludf.DUMMYFUNCTION("""COMPUTED_VALUE"""),"Mexico")</f>
        <v>Mexico</v>
      </c>
      <c r="E267" s="1"/>
      <c r="F267" s="1"/>
      <c r="G267" s="1" t="str">
        <f>IFERROR(__xludf.DUMMYFUNCTION("""COMPUTED_VALUE"""),"Y")</f>
        <v>Y</v>
      </c>
      <c r="H267" s="1" t="str">
        <f>IFERROR(__xludf.DUMMYFUNCTION("""COMPUTED_VALUE"""),"Y")</f>
        <v>Y</v>
      </c>
      <c r="I267" s="1"/>
      <c r="J267" s="1"/>
      <c r="K267" s="2"/>
      <c r="L267" s="2"/>
      <c r="M267" s="2"/>
      <c r="N267" s="3"/>
      <c r="O267" s="2" t="str">
        <f>IFERROR(__xludf.DUMMYFUNCTION("""COMPUTED_VALUE"""),"On Ventures is an insightful VC Fund for innovative companies with high growth potential in Mexico.")</f>
        <v>On Ventures is an insightful VC Fund for innovative companies with high growth potential in Mexico.</v>
      </c>
      <c r="P267" s="1"/>
      <c r="Q267" s="1"/>
      <c r="R267" s="1"/>
      <c r="S267" s="1"/>
      <c r="T267" s="1"/>
      <c r="U267" s="1"/>
      <c r="V267" s="1"/>
      <c r="W267" s="1"/>
      <c r="X267" s="1"/>
      <c r="Y267" s="1"/>
      <c r="Z267" s="1"/>
    </row>
    <row r="268">
      <c r="A268" s="1" t="str">
        <f>IFERROR(__xludf.DUMMYFUNCTION("""COMPUTED_VALUE"""),"ONEVC")</f>
        <v>ONEVC</v>
      </c>
      <c r="B268" s="1" t="str">
        <f>IFERROR(__xludf.DUMMYFUNCTION("""COMPUTED_VALUE"""),"Venture Capital &amp; Private Equity")</f>
        <v>Venture Capital &amp; Private Equity</v>
      </c>
      <c r="C268" s="7" t="str">
        <f>IFERROR(__xludf.DUMMYFUNCTION("""COMPUTED_VALUE"""),"https://www.onevc.vc/")</f>
        <v>https://www.onevc.vc/</v>
      </c>
      <c r="D268" s="1" t="str">
        <f>IFERROR(__xludf.DUMMYFUNCTION("""COMPUTED_VALUE"""),"United States of America")</f>
        <v>United States of America</v>
      </c>
      <c r="E268" s="1"/>
      <c r="F268" s="1"/>
      <c r="G268" s="1"/>
      <c r="H268" s="1"/>
      <c r="I268" s="1"/>
      <c r="J268" s="1"/>
      <c r="K268" s="2"/>
      <c r="L268" s="2"/>
      <c r="M268" s="2"/>
      <c r="N268" s="3"/>
      <c r="O268" s="2" t="str">
        <f>IFERROR(__xludf.DUMMYFUNCTION("""COMPUTED_VALUE"""),"ONEVC is a Silicon Valley and Brazil-based generalist seed-stage venture firm focused on investing in entrepreneurs that tackle multi-billion dollar markets with solid product-market fit.")</f>
        <v>ONEVC is a Silicon Valley and Brazil-based generalist seed-stage venture firm focused on investing in entrepreneurs that tackle multi-billion dollar markets with solid product-market fit.</v>
      </c>
      <c r="P268" s="1"/>
      <c r="Q268" s="1"/>
      <c r="R268" s="1"/>
      <c r="S268" s="1"/>
      <c r="T268" s="1"/>
      <c r="U268" s="1"/>
      <c r="V268" s="1"/>
      <c r="W268" s="1"/>
      <c r="X268" s="1"/>
      <c r="Y268" s="1"/>
      <c r="Z268" s="1"/>
    </row>
    <row r="269">
      <c r="A269" s="1" t="str">
        <f>IFERROR(__xludf.DUMMYFUNCTION("""COMPUTED_VALUE"""),"Orion Startups")</f>
        <v>Orion Startups</v>
      </c>
      <c r="B269" s="1" t="str">
        <f>IFERROR(__xludf.DUMMYFUNCTION("""COMPUTED_VALUE"""),"Accelerator")</f>
        <v>Accelerator</v>
      </c>
      <c r="C269" s="7" t="str">
        <f>IFERROR(__xludf.DUMMYFUNCTION("""COMPUTED_VALUE"""),"https://orionstartups.com/")</f>
        <v>https://orionstartups.com/</v>
      </c>
      <c r="D269" s="1" t="str">
        <f>IFERROR(__xludf.DUMMYFUNCTION("""COMPUTED_VALUE"""),"Mexico")</f>
        <v>Mexico</v>
      </c>
      <c r="E269" s="1"/>
      <c r="F269" s="1"/>
      <c r="G269" s="1"/>
      <c r="H269" s="1"/>
      <c r="I269" s="1"/>
      <c r="J269" s="1"/>
      <c r="K269" s="2"/>
      <c r="L269" s="2"/>
      <c r="M269" s="2"/>
      <c r="N269" s="3"/>
      <c r="O269" s="2" t="str">
        <f>IFERROR(__xludf.DUMMYFUNCTION("""COMPUTED_VALUE"""),"Orion Startups is a business accelerator and investment program for early stage startups in the software and internet sector.")</f>
        <v>Orion Startups is a business accelerator and investment program for early stage startups in the software and internet sector.</v>
      </c>
      <c r="P269" s="1"/>
      <c r="Q269" s="1"/>
      <c r="R269" s="1"/>
      <c r="S269" s="1"/>
      <c r="T269" s="1"/>
      <c r="U269" s="1"/>
      <c r="V269" s="1"/>
      <c r="W269" s="1"/>
      <c r="X269" s="1"/>
      <c r="Y269" s="1"/>
      <c r="Z269" s="1"/>
    </row>
    <row r="270">
      <c r="A270" s="1" t="str">
        <f>IFERROR(__xludf.DUMMYFUNCTION("""COMPUTED_VALUE"""),"Otto Holdings")</f>
        <v>Otto Holdings</v>
      </c>
      <c r="B270" s="1" t="str">
        <f>IFERROR(__xludf.DUMMYFUNCTION("""COMPUTED_VALUE"""),"Venture Capital &amp; Private Equity")</f>
        <v>Venture Capital &amp; Private Equity</v>
      </c>
      <c r="C270" s="7" t="str">
        <f>IFERROR(__xludf.DUMMYFUNCTION("""COMPUTED_VALUE"""),"https://www.ottoholdings.com/")</f>
        <v>https://www.ottoholdings.com/</v>
      </c>
      <c r="D270" s="1" t="str">
        <f>IFERROR(__xludf.DUMMYFUNCTION("""COMPUTED_VALUE"""),"United States of America")</f>
        <v>United States of America</v>
      </c>
      <c r="E270" s="1"/>
      <c r="F270" s="1"/>
      <c r="G270" s="1"/>
      <c r="H270" s="1"/>
      <c r="I270" s="1"/>
      <c r="J270" s="1"/>
      <c r="K270" s="2"/>
      <c r="L270" s="2"/>
      <c r="M270" s="2"/>
      <c r="N270" s="3"/>
      <c r="O270" s="2" t="str">
        <f>IFERROR(__xludf.DUMMYFUNCTION("""COMPUTED_VALUE"""),"OTTO Holdings is an alternative investment firm that focuses across the logistics, hospitality, and energy sectors.")</f>
        <v>OTTO Holdings is an alternative investment firm that focuses across the logistics, hospitality, and energy sectors.</v>
      </c>
      <c r="P270" s="1"/>
      <c r="Q270" s="1"/>
      <c r="R270" s="1"/>
      <c r="S270" s="1"/>
      <c r="T270" s="1"/>
      <c r="U270" s="1"/>
      <c r="V270" s="1"/>
      <c r="W270" s="1"/>
      <c r="X270" s="1"/>
      <c r="Y270" s="1"/>
      <c r="Z270" s="1"/>
    </row>
    <row r="271">
      <c r="A271" s="1" t="str">
        <f>IFERROR(__xludf.DUMMYFUNCTION("""COMPUTED_VALUE"""),"Outbound Ventures")</f>
        <v>Outbound Ventures</v>
      </c>
      <c r="B271" s="1" t="str">
        <f>IFERROR(__xludf.DUMMYFUNCTION("""COMPUTED_VALUE"""),"Venture Capital Fund")</f>
        <v>Venture Capital Fund</v>
      </c>
      <c r="C271" s="7" t="str">
        <f>IFERROR(__xludf.DUMMYFUNCTION("""COMPUTED_VALUE"""),"https://outboundventures.com/")</f>
        <v>https://outboundventures.com/</v>
      </c>
      <c r="D271" s="1" t="str">
        <f>IFERROR(__xludf.DUMMYFUNCTION("""COMPUTED_VALUE"""),"United States of America")</f>
        <v>United States of America</v>
      </c>
      <c r="E271" s="1"/>
      <c r="F271" s="1"/>
      <c r="G271" s="1"/>
      <c r="H271" s="1"/>
      <c r="I271" s="1"/>
      <c r="J271" s="1"/>
      <c r="K271" s="2"/>
      <c r="L271" s="2"/>
      <c r="M271" s="2"/>
      <c r="N271" s="3"/>
      <c r="O271" s="2" t="str">
        <f>IFERROR(__xludf.DUMMYFUNCTION("""COMPUTED_VALUE"""),"Outbound Ventures invests in tech enabled consumer facing companies with self aware and adaptable founding teams.")</f>
        <v>Outbound Ventures invests in tech enabled consumer facing companies with self aware and adaptable founding teams.</v>
      </c>
      <c r="P271" s="1"/>
      <c r="Q271" s="1"/>
      <c r="R271" s="1"/>
      <c r="S271" s="1"/>
      <c r="T271" s="1"/>
      <c r="U271" s="1"/>
      <c r="V271" s="1"/>
      <c r="W271" s="1"/>
      <c r="X271" s="1"/>
      <c r="Y271" s="1"/>
      <c r="Z271" s="1"/>
    </row>
    <row r="272">
      <c r="A272" s="1" t="str">
        <f>IFERROR(__xludf.DUMMYFUNCTION("""COMPUTED_VALUE"""),"Outsource Brazil")</f>
        <v>Outsource Brazil</v>
      </c>
      <c r="B272" s="1" t="str">
        <f>IFERROR(__xludf.DUMMYFUNCTION("""COMPUTED_VALUE"""),"Accelerator")</f>
        <v>Accelerator</v>
      </c>
      <c r="C272" s="7" t="str">
        <f>IFERROR(__xludf.DUMMYFUNCTION("""COMPUTED_VALUE"""),"https://obr.global/")</f>
        <v>https://obr.global/</v>
      </c>
      <c r="D272" s="1" t="str">
        <f>IFERROR(__xludf.DUMMYFUNCTION("""COMPUTED_VALUE"""),"United States of America")</f>
        <v>United States of America</v>
      </c>
      <c r="E272" s="1"/>
      <c r="F272" s="1"/>
      <c r="G272" s="1"/>
      <c r="H272" s="1"/>
      <c r="I272" s="1"/>
      <c r="J272" s="1"/>
      <c r="K272" s="2"/>
      <c r="L272" s="2"/>
      <c r="M272" s="2"/>
      <c r="N272" s="3"/>
      <c r="O272" s="2" t="str">
        <f>IFERROR(__xludf.DUMMYFUNCTION("""COMPUTED_VALUE"""),"OBr.global is an International business advisory and startup accelerator that offers cross-border business development and management consulting for international business strategy. It also provides mentoring and acceleration programs, as well access to i"&amp;"nvestment and funding.")</f>
        <v>OBr.global is an International business advisory and startup accelerator that offers cross-border business development and management consulting for international business strategy. It also provides mentoring and acceleration programs, as well access to investment and funding.</v>
      </c>
      <c r="P272" s="1"/>
      <c r="Q272" s="1"/>
      <c r="R272" s="1"/>
      <c r="S272" s="1"/>
      <c r="T272" s="1"/>
      <c r="U272" s="1"/>
      <c r="V272" s="1"/>
      <c r="W272" s="1"/>
      <c r="X272" s="1"/>
      <c r="Y272" s="1"/>
      <c r="Z272" s="1"/>
    </row>
    <row r="273">
      <c r="A273" s="1" t="str">
        <f>IFERROR(__xludf.DUMMYFUNCTION("""COMPUTED_VALUE"""),"Oxy Aceleradora")</f>
        <v>Oxy Aceleradora</v>
      </c>
      <c r="B273" s="1" t="str">
        <f>IFERROR(__xludf.DUMMYFUNCTION("""COMPUTED_VALUE"""),"Accelerator")</f>
        <v>Accelerator</v>
      </c>
      <c r="C273" s="7" t="str">
        <f>IFERROR(__xludf.DUMMYFUNCTION("""COMPUTED_VALUE"""),"http://www.oxyaceleradora.com.br/")</f>
        <v>http://www.oxyaceleradora.com.br/</v>
      </c>
      <c r="D273" s="1"/>
      <c r="E273" s="1"/>
      <c r="F273" s="1"/>
      <c r="G273" s="1"/>
      <c r="H273" s="1"/>
      <c r="I273" s="1"/>
      <c r="J273" s="1"/>
      <c r="K273" s="2"/>
      <c r="L273" s="2"/>
      <c r="M273" s="2"/>
      <c r="N273" s="3"/>
      <c r="O273" s="2"/>
      <c r="P273" s="1"/>
      <c r="Q273" s="1"/>
      <c r="R273" s="1"/>
      <c r="S273" s="1"/>
      <c r="T273" s="1"/>
      <c r="U273" s="1"/>
      <c r="V273" s="1"/>
      <c r="W273" s="1"/>
      <c r="X273" s="1"/>
      <c r="Y273" s="1"/>
      <c r="Z273" s="1"/>
    </row>
    <row r="274">
      <c r="A274" s="1" t="str">
        <f>IFERROR(__xludf.DUMMYFUNCTION("""COMPUTED_VALUE"""),"Parallel 18")</f>
        <v>Parallel 18</v>
      </c>
      <c r="B274" s="1" t="str">
        <f>IFERROR(__xludf.DUMMYFUNCTION("""COMPUTED_VALUE"""),"Accelerator")</f>
        <v>Accelerator</v>
      </c>
      <c r="C274" s="7" t="str">
        <f>IFERROR(__xludf.DUMMYFUNCTION("""COMPUTED_VALUE"""),"https://parallel18.com/")</f>
        <v>https://parallel18.com/</v>
      </c>
      <c r="D274" s="1" t="str">
        <f>IFERROR(__xludf.DUMMYFUNCTION("""COMPUTED_VALUE"""),"Puerto Rico")</f>
        <v>Puerto Rico</v>
      </c>
      <c r="E274" s="1"/>
      <c r="F274" s="1" t="str">
        <f>IFERROR(__xludf.DUMMYFUNCTION("""COMPUTED_VALUE"""),"Y")</f>
        <v>Y</v>
      </c>
      <c r="G274" s="1" t="str">
        <f>IFERROR(__xludf.DUMMYFUNCTION("""COMPUTED_VALUE"""),"Y")</f>
        <v>Y</v>
      </c>
      <c r="H274" s="1"/>
      <c r="I274" s="1"/>
      <c r="J274" s="1"/>
      <c r="K274" s="2"/>
      <c r="L274" s="2"/>
      <c r="M274" s="2"/>
      <c r="N274" s="3"/>
      <c r="O274" s="2" t="str">
        <f>IFERROR(__xludf.DUMMYFUNCTION("""COMPUTED_VALUE"""),"Parallel18 is a global accelerator that harnesses Puerto Rico's unique elements, to help startups reach new markets.")</f>
        <v>Parallel18 is a global accelerator that harnesses Puerto Rico's unique elements, to help startups reach new markets.</v>
      </c>
      <c r="P274" s="1"/>
      <c r="Q274" s="1"/>
      <c r="R274" s="1"/>
      <c r="S274" s="1"/>
      <c r="T274" s="1"/>
      <c r="U274" s="1"/>
      <c r="V274" s="1"/>
      <c r="W274" s="1"/>
      <c r="X274" s="1"/>
      <c r="Y274" s="1"/>
      <c r="Z274" s="1"/>
    </row>
    <row r="275">
      <c r="A275" s="1" t="str">
        <f>IFERROR(__xludf.DUMMYFUNCTION("""COMPUTED_VALUE"""),"PC Capital")</f>
        <v>PC Capital</v>
      </c>
      <c r="B275" s="1" t="str">
        <f>IFERROR(__xludf.DUMMYFUNCTION("""COMPUTED_VALUE"""),"Private Equity Firm")</f>
        <v>Private Equity Firm</v>
      </c>
      <c r="C275" s="7" t="str">
        <f>IFERROR(__xludf.DUMMYFUNCTION("""COMPUTED_VALUE"""),"www.pc-capital.com")</f>
        <v>www.pc-capital.com</v>
      </c>
      <c r="D275" s="1" t="str">
        <f>IFERROR(__xludf.DUMMYFUNCTION("""COMPUTED_VALUE"""),"Mexico")</f>
        <v>Mexico</v>
      </c>
      <c r="E275" s="1"/>
      <c r="F275" s="1"/>
      <c r="G275" s="1"/>
      <c r="H275" s="1" t="str">
        <f>IFERROR(__xludf.DUMMYFUNCTION("""COMPUTED_VALUE"""),"Y")</f>
        <v>Y</v>
      </c>
      <c r="I275" s="1"/>
      <c r="J275" s="1"/>
      <c r="K275" s="2"/>
      <c r="L275" s="2"/>
      <c r="M275" s="2"/>
      <c r="N275" s="3"/>
      <c r="O275" s="2" t="str">
        <f>IFERROR(__xludf.DUMMYFUNCTION("""COMPUTED_VALUE"""),"PC Capital is the Middle Market Private Private Equity and Investment Banking firm in Mexico.")</f>
        <v>PC Capital is the Middle Market Private Private Equity and Investment Banking firm in Mexico.</v>
      </c>
      <c r="P275" s="1"/>
      <c r="Q275" s="1"/>
      <c r="R275" s="1"/>
      <c r="S275" s="1"/>
      <c r="T275" s="1"/>
      <c r="U275" s="1"/>
      <c r="V275" s="1"/>
      <c r="W275" s="1"/>
      <c r="X275" s="1"/>
      <c r="Y275" s="1"/>
      <c r="Z275" s="1"/>
    </row>
    <row r="276">
      <c r="A276" s="1" t="str">
        <f>IFERROR(__xludf.DUMMYFUNCTION("""COMPUTED_VALUE"""),"Pedralbes Partners")</f>
        <v>Pedralbes Partners</v>
      </c>
      <c r="B276" s="1" t="str">
        <f>IFERROR(__xludf.DUMMYFUNCTION("""COMPUTED_VALUE"""),"Private Equity Firm")</f>
        <v>Private Equity Firm</v>
      </c>
      <c r="C276" s="7" t="str">
        <f>IFERROR(__xludf.DUMMYFUNCTION("""COMPUTED_VALUE"""),"www.pedralbes-partners.com/")</f>
        <v>www.pedralbes-partners.com/</v>
      </c>
      <c r="D276" s="1" t="str">
        <f>IFERROR(__xludf.DUMMYFUNCTION("""COMPUTED_VALUE"""),"Mexico")</f>
        <v>Mexico</v>
      </c>
      <c r="E276" s="1" t="str">
        <f>IFERROR(__xludf.DUMMYFUNCTION("""COMPUTED_VALUE"""),"Latin America")</f>
        <v>Latin America</v>
      </c>
      <c r="F276" s="1"/>
      <c r="G276" s="1"/>
      <c r="H276" s="1" t="str">
        <f>IFERROR(__xludf.DUMMYFUNCTION("""COMPUTED_VALUE"""),"Y")</f>
        <v>Y</v>
      </c>
      <c r="I276" s="1" t="str">
        <f>IFERROR(__xludf.DUMMYFUNCTION("""COMPUTED_VALUE"""),"Y")</f>
        <v>Y</v>
      </c>
      <c r="J276" s="1"/>
      <c r="K276" s="2" t="str">
        <f>IFERROR(__xludf.DUMMYFUNCTION("""COMPUTED_VALUE"""),"Latin America")</f>
        <v>Latin America</v>
      </c>
      <c r="L276" s="2"/>
      <c r="M276" s="2"/>
      <c r="N276" s="3"/>
      <c r="O276" s="2" t="str">
        <f>IFERROR(__xludf.DUMMYFUNCTION("""COMPUTED_VALUE"""),"Independent investment management and advisory company based in Mexico City with focus on growth markets in Latin America.")</f>
        <v>Independent investment management and advisory company based in Mexico City with focus on growth markets in Latin America.</v>
      </c>
      <c r="P276" s="1"/>
      <c r="Q276" s="1"/>
      <c r="R276" s="1"/>
      <c r="S276" s="1"/>
      <c r="T276" s="1"/>
      <c r="U276" s="1"/>
      <c r="V276" s="1"/>
      <c r="W276" s="1"/>
      <c r="X276" s="1"/>
      <c r="Y276" s="1"/>
      <c r="Z276" s="1"/>
    </row>
    <row r="277">
      <c r="A277" s="1" t="str">
        <f>IFERROR(__xludf.DUMMYFUNCTION("""COMPUTED_VALUE"""),"People Ventures")</f>
        <v>People Ventures</v>
      </c>
      <c r="B277" s="1" t="str">
        <f>IFERROR(__xludf.DUMMYFUNCTION("""COMPUTED_VALUE"""),"Venture Capital Fund")</f>
        <v>Venture Capital Fund</v>
      </c>
      <c r="C277" s="7" t="str">
        <f>IFERROR(__xludf.DUMMYFUNCTION("""COMPUTED_VALUE"""),"https://www.peopleventures.io/")</f>
        <v>https://www.peopleventures.io/</v>
      </c>
      <c r="D277" s="1" t="str">
        <f>IFERROR(__xludf.DUMMYFUNCTION("""COMPUTED_VALUE"""),"United Kingdom")</f>
        <v>United Kingdom</v>
      </c>
      <c r="E277" s="1"/>
      <c r="F277" s="1"/>
      <c r="G277" s="1" t="str">
        <f>IFERROR(__xludf.DUMMYFUNCTION("""COMPUTED_VALUE"""),"Y")</f>
        <v>Y</v>
      </c>
      <c r="H277" s="1"/>
      <c r="I277" s="1"/>
      <c r="J277" s="1"/>
      <c r="K277" s="2"/>
      <c r="L277" s="2"/>
      <c r="M277" s="2"/>
      <c r="N277" s="3"/>
      <c r="O277" s="2" t="str">
        <f>IFERROR(__xludf.DUMMYFUNCTION("""COMPUTED_VALUE"""),"PeopleVentures is a value added investment fund that provides early stage seed+ investment exclusively for people technology startups.")</f>
        <v>PeopleVentures is a value added investment fund that provides early stage seed+ investment exclusively for people technology startups.</v>
      </c>
      <c r="P277" s="1"/>
      <c r="Q277" s="1"/>
      <c r="R277" s="1"/>
      <c r="S277" s="1"/>
      <c r="T277" s="1"/>
      <c r="U277" s="1"/>
      <c r="V277" s="1"/>
      <c r="W277" s="1"/>
      <c r="X277" s="1"/>
      <c r="Y277" s="1"/>
      <c r="Z277" s="1"/>
    </row>
    <row r="278">
      <c r="A278" s="1" t="str">
        <f>IFERROR(__xludf.DUMMYFUNCTION("""COMPUTED_VALUE"""),"Picus Capital")</f>
        <v>Picus Capital</v>
      </c>
      <c r="B278" s="1" t="str">
        <f>IFERROR(__xludf.DUMMYFUNCTION("""COMPUTED_VALUE"""),"Venture Capital Fund")</f>
        <v>Venture Capital Fund</v>
      </c>
      <c r="C278" s="7" t="str">
        <f>IFERROR(__xludf.DUMMYFUNCTION("""COMPUTED_VALUE"""),"https://www.picuscap.com/")</f>
        <v>https://www.picuscap.com/</v>
      </c>
      <c r="D278" s="1" t="str">
        <f>IFERROR(__xludf.DUMMYFUNCTION("""COMPUTED_VALUE"""),"Germany")</f>
        <v>Germany</v>
      </c>
      <c r="E278" s="1"/>
      <c r="F278" s="1" t="str">
        <f>IFERROR(__xludf.DUMMYFUNCTION("""COMPUTED_VALUE"""),"Y")</f>
        <v>Y</v>
      </c>
      <c r="G278" s="1" t="str">
        <f>IFERROR(__xludf.DUMMYFUNCTION("""COMPUTED_VALUE"""),"Y")</f>
        <v>Y</v>
      </c>
      <c r="H278" s="1" t="str">
        <f>IFERROR(__xludf.DUMMYFUNCTION("""COMPUTED_VALUE"""),"Y")</f>
        <v>Y</v>
      </c>
      <c r="I278" s="1"/>
      <c r="J278" s="1"/>
      <c r="K278" s="2"/>
      <c r="L278" s="2"/>
      <c r="M278" s="2"/>
      <c r="N278" s="3"/>
      <c r="O278" s="2" t="str">
        <f>IFERROR(__xludf.DUMMYFUNCTION("""COMPUTED_VALUE"""),"Picus Capital is an early-stage technology investment firm with a long-term investment philosophy. We work together with daring technology companies to build successful, global companies challenging the status quo and shaping tomorrow")</f>
        <v>Picus Capital is an early-stage technology investment firm with a long-term investment philosophy. We work together with daring technology companies to build successful, global companies challenging the status quo and shaping tomorrow</v>
      </c>
      <c r="P278" s="1"/>
      <c r="Q278" s="1"/>
      <c r="R278" s="1"/>
      <c r="S278" s="1"/>
      <c r="T278" s="1"/>
      <c r="U278" s="1"/>
      <c r="V278" s="1"/>
      <c r="W278" s="1"/>
      <c r="X278" s="1"/>
      <c r="Y278" s="1"/>
      <c r="Z278" s="1"/>
    </row>
    <row r="279">
      <c r="A279" s="1" t="str">
        <f>IFERROR(__xludf.DUMMYFUNCTION("""COMPUTED_VALUE"""),"PLEIN UDP")</f>
        <v>PLEIN UDP</v>
      </c>
      <c r="B279" s="1" t="str">
        <f>IFERROR(__xludf.DUMMYFUNCTION("""COMPUTED_VALUE"""),"Accelerator")</f>
        <v>Accelerator</v>
      </c>
      <c r="C279" s="7" t="str">
        <f>IFERROR(__xludf.DUMMYFUNCTION("""COMPUTED_VALUE"""),"https://plein.udp.cl/")</f>
        <v>https://plein.udp.cl/</v>
      </c>
      <c r="D279" s="1" t="str">
        <f>IFERROR(__xludf.DUMMYFUNCTION("""COMPUTED_VALUE"""),"Chile")</f>
        <v>Chile</v>
      </c>
      <c r="E279" s="1"/>
      <c r="F279" s="1"/>
      <c r="G279" s="1"/>
      <c r="H279" s="1"/>
      <c r="I279" s="1"/>
      <c r="J279" s="1"/>
      <c r="K279" s="2"/>
      <c r="L279" s="2"/>
      <c r="M279" s="2"/>
      <c r="N279" s="3"/>
      <c r="O279" s="2" t="str">
        <f>IFERROR(__xludf.DUMMYFUNCTION("""COMPUTED_VALUE"""),"The entrepreneurship and innovation platform of the Diego Portales University")</f>
        <v>The entrepreneurship and innovation platform of the Diego Portales University</v>
      </c>
      <c r="P279" s="1"/>
      <c r="Q279" s="1"/>
      <c r="R279" s="1"/>
      <c r="S279" s="1"/>
      <c r="T279" s="1"/>
      <c r="U279" s="1"/>
      <c r="V279" s="1"/>
      <c r="W279" s="1"/>
      <c r="X279" s="1"/>
      <c r="Y279" s="1"/>
      <c r="Z279" s="1"/>
    </row>
    <row r="280">
      <c r="A280" s="1" t="str">
        <f>IFERROR(__xludf.DUMMYFUNCTION("""COMPUTED_VALUE"""),"Plug and Play")</f>
        <v>Plug and Play</v>
      </c>
      <c r="B280" s="1" t="str">
        <f>IFERROR(__xludf.DUMMYFUNCTION("""COMPUTED_VALUE"""),"Venture Capital Fund")</f>
        <v>Venture Capital Fund</v>
      </c>
      <c r="C280" s="7" t="str">
        <f>IFERROR(__xludf.DUMMYFUNCTION("""COMPUTED_VALUE"""),"https://www.plugandplaytechcenter.com/")</f>
        <v>https://www.plugandplaytechcenter.com/</v>
      </c>
      <c r="D280" s="1" t="str">
        <f>IFERROR(__xludf.DUMMYFUNCTION("""COMPUTED_VALUE"""),"United States of America")</f>
        <v>United States of America</v>
      </c>
      <c r="E280" s="1" t="str">
        <f>IFERROR(__xludf.DUMMYFUNCTION("""COMPUTED_VALUE"""),"Latin America")</f>
        <v>Latin America</v>
      </c>
      <c r="F280" s="1"/>
      <c r="G280" s="1"/>
      <c r="H280" s="1"/>
      <c r="I280" s="1"/>
      <c r="J280" s="1"/>
      <c r="K280" s="2" t="str">
        <f>IFERROR(__xludf.DUMMYFUNCTION("""COMPUTED_VALUE"""),"Latin America")</f>
        <v>Latin America</v>
      </c>
      <c r="L280" s="2"/>
      <c r="M280" s="2"/>
      <c r="N280" s="3"/>
      <c r="O280" s="2" t="str">
        <f>IFERROR(__xludf.DUMMYFUNCTION("""COMPUTED_VALUE"""),"Plug and Play is a seed and early-stage investment firm focusing on technology start-ups.")</f>
        <v>Plug and Play is a seed and early-stage investment firm focusing on technology start-ups.</v>
      </c>
      <c r="P280" s="1"/>
      <c r="Q280" s="1"/>
      <c r="R280" s="1"/>
      <c r="S280" s="1"/>
      <c r="T280" s="1"/>
      <c r="U280" s="1"/>
      <c r="V280" s="1"/>
      <c r="W280" s="1"/>
      <c r="X280" s="1"/>
      <c r="Y280" s="1"/>
      <c r="Z280" s="1"/>
    </row>
    <row r="281">
      <c r="A281" s="1" t="str">
        <f>IFERROR(__xludf.DUMMYFUNCTION("""COMPUTED_VALUE"""),"Plug and Play Mexico")</f>
        <v>Plug and Play Mexico</v>
      </c>
      <c r="B281" s="1" t="str">
        <f>IFERROR(__xludf.DUMMYFUNCTION("""COMPUTED_VALUE"""),"Accelerator")</f>
        <v>Accelerator</v>
      </c>
      <c r="C281" s="7" t="str">
        <f>IFERROR(__xludf.DUMMYFUNCTION("""COMPUTED_VALUE"""),"https://www.pnp.mx/")</f>
        <v>https://www.pnp.mx/</v>
      </c>
      <c r="D281" s="1" t="str">
        <f>IFERROR(__xludf.DUMMYFUNCTION("""COMPUTED_VALUE"""),"United States of America")</f>
        <v>United States of America</v>
      </c>
      <c r="E281" s="1" t="str">
        <f>IFERROR(__xludf.DUMMYFUNCTION("""COMPUTED_VALUE"""),"Latin America")</f>
        <v>Latin America</v>
      </c>
      <c r="F281" s="1"/>
      <c r="G281" s="1"/>
      <c r="H281" s="1"/>
      <c r="I281" s="1"/>
      <c r="J281" s="1"/>
      <c r="K281" s="2" t="str">
        <f>IFERROR(__xludf.DUMMYFUNCTION("""COMPUTED_VALUE"""),"Latin America")</f>
        <v>Latin America</v>
      </c>
      <c r="L281" s="2"/>
      <c r="M281" s="2"/>
      <c r="N281" s="3"/>
      <c r="O281" s="2" t="str">
        <f>IFERROR(__xludf.DUMMYFUNCTION("""COMPUTED_VALUE"""),"Plug and Play is a seed and early-stage investment firm focusing on technology start-ups.")</f>
        <v>Plug and Play is a seed and early-stage investment firm focusing on technology start-ups.</v>
      </c>
      <c r="P281" s="1"/>
      <c r="Q281" s="1"/>
      <c r="R281" s="1"/>
      <c r="S281" s="1"/>
      <c r="T281" s="1"/>
      <c r="U281" s="1"/>
      <c r="V281" s="1"/>
      <c r="W281" s="1"/>
      <c r="X281" s="1"/>
      <c r="Y281" s="1"/>
      <c r="Z281" s="1"/>
    </row>
    <row r="282">
      <c r="A282" s="1" t="str">
        <f>IFERROR(__xludf.DUMMYFUNCTION("""COMPUTED_VALUE"""),"Point72 Ventures")</f>
        <v>Point72 Ventures</v>
      </c>
      <c r="B282" s="1" t="str">
        <f>IFERROR(__xludf.DUMMYFUNCTION("""COMPUTED_VALUE"""),"Venture Capital Fund")</f>
        <v>Venture Capital Fund</v>
      </c>
      <c r="C282" s="7" t="str">
        <f>IFERROR(__xludf.DUMMYFUNCTION("""COMPUTED_VALUE"""),"https://p72.vc/")</f>
        <v>https://p72.vc/</v>
      </c>
      <c r="D282" s="1" t="str">
        <f>IFERROR(__xludf.DUMMYFUNCTION("""COMPUTED_VALUE"""),"United States of America")</f>
        <v>United States of America</v>
      </c>
      <c r="E282" s="1"/>
      <c r="F282" s="1"/>
      <c r="G282" s="1" t="str">
        <f>IFERROR(__xludf.DUMMYFUNCTION("""COMPUTED_VALUE"""),"Y")</f>
        <v>Y</v>
      </c>
      <c r="H282" s="1" t="str">
        <f>IFERROR(__xludf.DUMMYFUNCTION("""COMPUTED_VALUE"""),"Y")</f>
        <v>Y</v>
      </c>
      <c r="I282" s="1" t="str">
        <f>IFERROR(__xludf.DUMMYFUNCTION("""COMPUTED_VALUE"""),"Y")</f>
        <v>Y</v>
      </c>
      <c r="J282" s="1" t="str">
        <f>IFERROR(__xludf.DUMMYFUNCTION("""COMPUTED_VALUE"""),"Y")</f>
        <v>Y</v>
      </c>
      <c r="K282" s="2"/>
      <c r="L282" s="2"/>
      <c r="M282" s="2"/>
      <c r="N282" s="3"/>
      <c r="O282" s="2" t="str">
        <f>IFERROR(__xludf.DUMMYFUNCTION("""COMPUTED_VALUE"""),"Point72 Ventures is a global venture capital firm with offices in New York City, Palo Alto, San Francisco, and Stamford, Connecticut.")</f>
        <v>Point72 Ventures is a global venture capital firm with offices in New York City, Palo Alto, San Francisco, and Stamford, Connecticut.</v>
      </c>
      <c r="P282" s="1"/>
      <c r="Q282" s="1"/>
      <c r="R282" s="1"/>
      <c r="S282" s="1"/>
      <c r="T282" s="1"/>
      <c r="U282" s="1"/>
      <c r="V282" s="1"/>
      <c r="W282" s="1"/>
      <c r="X282" s="1"/>
      <c r="Y282" s="1"/>
      <c r="Z282" s="1"/>
    </row>
    <row r="283">
      <c r="A283" s="1" t="str">
        <f>IFERROR(__xludf.DUMMYFUNCTION("""COMPUTED_VALUE"""),"Polymath Ventures")</f>
        <v>Polymath Ventures</v>
      </c>
      <c r="B283" s="1" t="str">
        <f>IFERROR(__xludf.DUMMYFUNCTION("""COMPUTED_VALUE"""),"Venture Capital &amp; Private Equity")</f>
        <v>Venture Capital &amp; Private Equity</v>
      </c>
      <c r="C283" s="7" t="str">
        <f>IFERROR(__xludf.DUMMYFUNCTION("""COMPUTED_VALUE"""),"https://polymathv.com/")</f>
        <v>https://polymathv.com/</v>
      </c>
      <c r="D283" s="1" t="str">
        <f>IFERROR(__xludf.DUMMYFUNCTION("""COMPUTED_VALUE"""),"Colombia")</f>
        <v>Colombia</v>
      </c>
      <c r="E283" s="1"/>
      <c r="F283" s="1"/>
      <c r="G283" s="1"/>
      <c r="H283" s="1"/>
      <c r="I283" s="1"/>
      <c r="J283" s="1"/>
      <c r="K283" s="2"/>
      <c r="L283" s="2"/>
      <c r="M283" s="2"/>
      <c r="N283" s="3"/>
      <c r="O283" s="2" t="str">
        <f>IFERROR(__xludf.DUMMYFUNCTION("""COMPUTED_VALUE"""),"We are The Venture Studio for Latin America")</f>
        <v>We are The Venture Studio for Latin America</v>
      </c>
      <c r="P283" s="1"/>
      <c r="Q283" s="1"/>
      <c r="R283" s="1"/>
      <c r="S283" s="1"/>
      <c r="T283" s="1"/>
      <c r="U283" s="1"/>
      <c r="V283" s="1"/>
      <c r="W283" s="1"/>
      <c r="X283" s="1"/>
      <c r="Y283" s="1"/>
      <c r="Z283" s="1"/>
    </row>
    <row r="284">
      <c r="A284" s="1" t="str">
        <f>IFERROR(__xludf.DUMMYFUNCTION("""COMPUTED_VALUE"""),"Principal Financial Group")</f>
        <v>Principal Financial Group</v>
      </c>
      <c r="B284" s="1" t="str">
        <f>IFERROR(__xludf.DUMMYFUNCTION("""COMPUTED_VALUE"""),"Financial Investment Management")</f>
        <v>Financial Investment Management</v>
      </c>
      <c r="C284" s="7" t="str">
        <f>IFERROR(__xludf.DUMMYFUNCTION("""COMPUTED_VALUE"""),"www.principal.com")</f>
        <v>www.principal.com</v>
      </c>
      <c r="D284" s="1" t="str">
        <f>IFERROR(__xludf.DUMMYFUNCTION("""COMPUTED_VALUE"""),"United States of America")</f>
        <v>United States of America</v>
      </c>
      <c r="E284" s="1"/>
      <c r="F284" s="1"/>
      <c r="G284" s="1" t="str">
        <f>IFERROR(__xludf.DUMMYFUNCTION("""COMPUTED_VALUE"""),"Y")</f>
        <v>Y</v>
      </c>
      <c r="H284" s="1"/>
      <c r="I284" s="1"/>
      <c r="J284" s="1"/>
      <c r="K284" s="2"/>
      <c r="L284" s="2"/>
      <c r="M284" s="2"/>
      <c r="N284" s="3"/>
      <c r="O284" s="2" t="str">
        <f>IFERROR(__xludf.DUMMYFUNCTION("""COMPUTED_VALUE"""),"Principal Financial Group provides retirement savings, investment, and insurance products and services worldwide.")</f>
        <v>Principal Financial Group provides retirement savings, investment, and insurance products and services worldwide.</v>
      </c>
      <c r="P284" s="1"/>
      <c r="Q284" s="1"/>
      <c r="R284" s="1"/>
      <c r="S284" s="1"/>
      <c r="T284" s="1"/>
      <c r="U284" s="1"/>
      <c r="V284" s="1"/>
      <c r="W284" s="1"/>
      <c r="X284" s="1"/>
      <c r="Y284" s="1"/>
      <c r="Z284" s="1"/>
    </row>
    <row r="285">
      <c r="A285" s="1" t="str">
        <f>IFERROR(__xludf.DUMMYFUNCTION("""COMPUTED_VALUE"""),"Proeza Ventures")</f>
        <v>Proeza Ventures</v>
      </c>
      <c r="B285" s="1" t="str">
        <f>IFERROR(__xludf.DUMMYFUNCTION("""COMPUTED_VALUE"""),"Venture Capital Fund")</f>
        <v>Venture Capital Fund</v>
      </c>
      <c r="C285" s="7" t="str">
        <f>IFERROR(__xludf.DUMMYFUNCTION("""COMPUTED_VALUE"""),"https://www.proezaventures.com/")</f>
        <v>https://www.proezaventures.com/</v>
      </c>
      <c r="D285" s="1" t="str">
        <f>IFERROR(__xludf.DUMMYFUNCTION("""COMPUTED_VALUE"""),"Mexico")</f>
        <v>Mexico</v>
      </c>
      <c r="E285" s="1" t="str">
        <f>IFERROR(__xludf.DUMMYFUNCTION("""COMPUTED_VALUE"""),"Latam")</f>
        <v>Latam</v>
      </c>
      <c r="F285" s="1"/>
      <c r="G285" s="1"/>
      <c r="H285" s="1"/>
      <c r="I285" s="1"/>
      <c r="J285" s="1"/>
      <c r="K285" s="2" t="str">
        <f>IFERROR(__xludf.DUMMYFUNCTION("""COMPUTED_VALUE"""),"Latam")</f>
        <v>Latam</v>
      </c>
      <c r="L285" s="2"/>
      <c r="M285" s="2" t="str">
        <f>IFERROR(__xludf.DUMMYFUNCTION("""COMPUTED_VALUE"""),"Mobility")</f>
        <v>Mobility</v>
      </c>
      <c r="N285" s="3"/>
      <c r="O285" s="2" t="str">
        <f>IFERROR(__xludf.DUMMYFUNCTION("""COMPUTED_VALUE"""),"A VC firm investing in early stage start-ups exclusively in the mobility space. Venture arm of Grupo Proeza")</f>
        <v>A VC firm investing in early stage start-ups exclusively in the mobility space. Venture arm of Grupo Proeza</v>
      </c>
      <c r="P285" s="1"/>
      <c r="Q285" s="1"/>
      <c r="R285" s="1"/>
      <c r="S285" s="1"/>
      <c r="T285" s="1"/>
      <c r="U285" s="1"/>
      <c r="V285" s="1"/>
      <c r="W285" s="1"/>
      <c r="X285" s="1"/>
      <c r="Y285" s="1"/>
      <c r="Z285" s="1"/>
    </row>
    <row r="286">
      <c r="A286" s="1" t="str">
        <f>IFERROR(__xludf.DUMMYFUNCTION("""COMPUTED_VALUE"""),"Promotora Social Mexico")</f>
        <v>Promotora Social Mexico</v>
      </c>
      <c r="B286" s="1" t="str">
        <f>IFERROR(__xludf.DUMMYFUNCTION("""COMPUTED_VALUE"""),"Venture Capital Fund")</f>
        <v>Venture Capital Fund</v>
      </c>
      <c r="C286" s="7" t="str">
        <f>IFERROR(__xludf.DUMMYFUNCTION("""COMPUTED_VALUE"""),"www.psm.org.mx")</f>
        <v>www.psm.org.mx</v>
      </c>
      <c r="D286" s="1" t="str">
        <f>IFERROR(__xludf.DUMMYFUNCTION("""COMPUTED_VALUE"""),"Mexico")</f>
        <v>Mexico</v>
      </c>
      <c r="E286" s="1" t="str">
        <f>IFERROR(__xludf.DUMMYFUNCTION("""COMPUTED_VALUE"""),"Latin America")</f>
        <v>Latin America</v>
      </c>
      <c r="F286" s="1"/>
      <c r="G286" s="1" t="str">
        <f>IFERROR(__xludf.DUMMYFUNCTION("""COMPUTED_VALUE"""),"Y")</f>
        <v>Y</v>
      </c>
      <c r="H286" s="1" t="str">
        <f>IFERROR(__xludf.DUMMYFUNCTION("""COMPUTED_VALUE"""),"Y")</f>
        <v>Y</v>
      </c>
      <c r="I286" s="1"/>
      <c r="J286" s="1"/>
      <c r="K286" s="2" t="str">
        <f>IFERROR(__xludf.DUMMYFUNCTION("""COMPUTED_VALUE"""),"Latin America")</f>
        <v>Latin America</v>
      </c>
      <c r="L286" s="2"/>
      <c r="M286" s="2"/>
      <c r="N286" s="3"/>
      <c r="O286" s="2" t="str">
        <f>IFERROR(__xludf.DUMMYFUNCTION("""COMPUTED_VALUE"""),"Promotora Social México funds business solutions focused on poverty with a focus on healthcare, education, and economic growth.")</f>
        <v>Promotora Social México funds business solutions focused on poverty with a focus on healthcare, education, and economic growth.</v>
      </c>
      <c r="P286" s="1"/>
      <c r="Q286" s="1"/>
      <c r="R286" s="1"/>
      <c r="S286" s="1"/>
      <c r="T286" s="1"/>
      <c r="U286" s="1"/>
      <c r="V286" s="1"/>
      <c r="W286" s="1"/>
      <c r="X286" s="1"/>
      <c r="Y286" s="1"/>
      <c r="Z286" s="1"/>
    </row>
    <row r="287">
      <c r="A287" s="1" t="str">
        <f>IFERROR(__xludf.DUMMYFUNCTION("""COMPUTED_VALUE"""),"Propel Venture Partners")</f>
        <v>Propel Venture Partners</v>
      </c>
      <c r="B287" s="1" t="str">
        <f>IFERROR(__xludf.DUMMYFUNCTION("""COMPUTED_VALUE"""),"Venture Capital Fund")</f>
        <v>Venture Capital Fund</v>
      </c>
      <c r="C287" s="7" t="str">
        <f>IFERROR(__xludf.DUMMYFUNCTION("""COMPUTED_VALUE"""),"http://propel.vc/")</f>
        <v>http://propel.vc/</v>
      </c>
      <c r="D287" s="1" t="str">
        <f>IFERROR(__xludf.DUMMYFUNCTION("""COMPUTED_VALUE"""),"United States of America")</f>
        <v>United States of America</v>
      </c>
      <c r="E287" s="1"/>
      <c r="F287" s="1"/>
      <c r="G287" s="1"/>
      <c r="H287" s="1"/>
      <c r="I287" s="1" t="str">
        <f>IFERROR(__xludf.DUMMYFUNCTION("""COMPUTED_VALUE"""),"Y")</f>
        <v>Y</v>
      </c>
      <c r="J287" s="1" t="str">
        <f>IFERROR(__xludf.DUMMYFUNCTION("""COMPUTED_VALUE"""),"Y")</f>
        <v>Y</v>
      </c>
      <c r="K287" s="2"/>
      <c r="L287" s="2"/>
      <c r="M287" s="2"/>
      <c r="N287" s="3"/>
      <c r="O287" s="2" t="str">
        <f>IFERROR(__xludf.DUMMYFUNCTION("""COMPUTED_VALUE"""),"Propel Venture Partners is a venture capital firm focused on opportunities at the intersection of technology and finance.")</f>
        <v>Propel Venture Partners is a venture capital firm focused on opportunities at the intersection of technology and finance.</v>
      </c>
      <c r="P287" s="1"/>
      <c r="Q287" s="1"/>
      <c r="R287" s="1"/>
      <c r="S287" s="1"/>
      <c r="T287" s="1"/>
      <c r="U287" s="1"/>
      <c r="V287" s="1"/>
      <c r="W287" s="1"/>
      <c r="X287" s="1"/>
      <c r="Y287" s="1"/>
      <c r="Z287" s="1"/>
    </row>
    <row r="288" hidden="1">
      <c r="A288" s="1" t="str">
        <f>IFERROR(__xludf.DUMMYFUNCTION("""COMPUTED_VALUE"""),"QED Investors")</f>
        <v>QED Investors</v>
      </c>
      <c r="B288" s="1" t="str">
        <f>IFERROR(__xludf.DUMMYFUNCTION("""COMPUTED_VALUE"""),"Venture Capital Fund")</f>
        <v>Venture Capital Fund</v>
      </c>
      <c r="C288" s="1"/>
      <c r="D288" s="1" t="str">
        <f>IFERROR(__xludf.DUMMYFUNCTION("""COMPUTED_VALUE"""),"United States of America")</f>
        <v>United States of America</v>
      </c>
      <c r="E288" s="1"/>
      <c r="F288" s="1"/>
      <c r="G288" s="1"/>
      <c r="H288" s="1"/>
      <c r="I288" s="1"/>
      <c r="J288" s="1"/>
      <c r="K288" s="8" t="str">
        <f>IFERROR(__xludf.DUMMYFUNCTION("""COMPUTED_VALUE"""),"https://www.linkedin.com/company/qed-investors/")</f>
        <v>https://www.linkedin.com/company/qed-investors/</v>
      </c>
      <c r="L288" s="2"/>
      <c r="M288" s="2"/>
      <c r="N288" s="3"/>
      <c r="O288" s="2"/>
      <c r="P288" s="1"/>
      <c r="Q288" s="1"/>
      <c r="R288" s="1"/>
      <c r="S288" s="1"/>
      <c r="T288" s="1"/>
      <c r="U288" s="1"/>
      <c r="V288" s="1"/>
      <c r="W288" s="1"/>
      <c r="X288" s="1"/>
      <c r="Y288" s="1"/>
      <c r="Z288" s="1"/>
    </row>
    <row r="289">
      <c r="A289" s="1" t="str">
        <f>IFERROR(__xludf.DUMMYFUNCTION("""COMPUTED_VALUE"""),"Qualcomm Ventures")</f>
        <v>Qualcomm Ventures</v>
      </c>
      <c r="B289" s="1" t="str">
        <f>IFERROR(__xludf.DUMMYFUNCTION("""COMPUTED_VALUE"""),"Corporate Venture Fund")</f>
        <v>Corporate Venture Fund</v>
      </c>
      <c r="C289" s="7" t="str">
        <f>IFERROR(__xludf.DUMMYFUNCTION("""COMPUTED_VALUE"""),"https://www.qualcommventures.com/")</f>
        <v>https://www.qualcommventures.com/</v>
      </c>
      <c r="D289" s="1" t="str">
        <f>IFERROR(__xludf.DUMMYFUNCTION("""COMPUTED_VALUE"""),"United States of America")</f>
        <v>United States of America</v>
      </c>
      <c r="E289" s="1"/>
      <c r="F289" s="1"/>
      <c r="G289" s="1" t="str">
        <f>IFERROR(__xludf.DUMMYFUNCTION("""COMPUTED_VALUE"""),"Y")</f>
        <v>Y</v>
      </c>
      <c r="H289" s="1" t="str">
        <f>IFERROR(__xludf.DUMMYFUNCTION("""COMPUTED_VALUE"""),"Y")</f>
        <v>Y</v>
      </c>
      <c r="I289" s="1" t="str">
        <f>IFERROR(__xludf.DUMMYFUNCTION("""COMPUTED_VALUE"""),"Y")</f>
        <v>Y</v>
      </c>
      <c r="J289" s="1" t="str">
        <f>IFERROR(__xludf.DUMMYFUNCTION("""COMPUTED_VALUE"""),"Y")</f>
        <v>Y</v>
      </c>
      <c r="K289" s="2"/>
      <c r="L289" s="2"/>
      <c r="M289" s="2"/>
      <c r="N289" s="3"/>
      <c r="O289" s="2" t="str">
        <f>IFERROR(__xludf.DUMMYFUNCTION("""COMPUTED_VALUE"""),"Qualcomm Ventures is the venture capital arm of Qualcomm Incorporated and is based in San Diego, California with several satellite offices located throughout world.  The group is focused on early to late stage investments in mobile/wireless sector with st"&amp;"rong interests in IoT, Connected Automotive, AI, Mobile and Digital Health.")</f>
        <v>Qualcomm Ventures is the venture capital arm of Qualcomm Incorporated and is based in San Diego, California with several satellite offices located throughout world.  The group is focused on early to late stage investments in mobile/wireless sector with strong interests in IoT, Connected Automotive, AI, Mobile and Digital Health.</v>
      </c>
      <c r="P289" s="1"/>
      <c r="Q289" s="1"/>
      <c r="R289" s="1"/>
      <c r="S289" s="1"/>
      <c r="T289" s="1"/>
      <c r="U289" s="1"/>
      <c r="V289" s="1"/>
      <c r="W289" s="1"/>
      <c r="X289" s="1"/>
      <c r="Y289" s="1"/>
      <c r="Z289" s="1"/>
    </row>
    <row r="290">
      <c r="A290" s="1" t="str">
        <f>IFERROR(__xludf.DUMMYFUNCTION("""COMPUTED_VALUE"""),"Qualtia")</f>
        <v>Qualtia</v>
      </c>
      <c r="B290" s="1" t="str">
        <f>IFERROR(__xludf.DUMMYFUNCTION("""COMPUTED_VALUE"""),"Corporate")</f>
        <v>Corporate</v>
      </c>
      <c r="C290" s="7" t="str">
        <f>IFERROR(__xludf.DUMMYFUNCTION("""COMPUTED_VALUE"""),"qualita.com")</f>
        <v>qualita.com</v>
      </c>
      <c r="D290" s="1" t="str">
        <f>IFERROR(__xludf.DUMMYFUNCTION("""COMPUTED_VALUE"""),"Mexico")</f>
        <v>Mexico</v>
      </c>
      <c r="E290" s="1"/>
      <c r="F290" s="1" t="str">
        <f>IFERROR(__xludf.DUMMYFUNCTION("""COMPUTED_VALUE"""),"Y")</f>
        <v>Y</v>
      </c>
      <c r="G290" s="1"/>
      <c r="H290" s="1"/>
      <c r="I290" s="1"/>
      <c r="J290" s="1"/>
      <c r="K290" s="2"/>
      <c r="L290" s="2"/>
      <c r="M290" s="2"/>
      <c r="N290" s="3"/>
      <c r="O290" s="2" t="str">
        <f>IFERROR(__xludf.DUMMYFUNCTION("""COMPUTED_VALUE"""),"Empresa Mexicana parte del grupo Xignux dedicada a la venta y distribución de productos embutidos para consumo humano. La especialidad son Salchichas, Jamones y Quesos y la distribución de nuestros productos son para el mercado mexicano. Las Marcas son: K"&amp;"ir, ZWAN, Caperucita, Duby y Alpino.")</f>
        <v>Empresa Mexicana parte del grupo Xignux dedicada a la venta y distribución de productos embutidos para consumo humano. La especialidad son Salchichas, Jamones y Quesos y la distribución de nuestros productos son para el mercado mexicano. Las Marcas son: Kir, ZWAN, Caperucita, Duby y Alpino.</v>
      </c>
      <c r="P290" s="1"/>
      <c r="Q290" s="1"/>
      <c r="R290" s="1"/>
      <c r="S290" s="1"/>
      <c r="T290" s="1"/>
      <c r="U290" s="1"/>
      <c r="V290" s="1"/>
      <c r="W290" s="1"/>
      <c r="X290" s="1"/>
      <c r="Y290" s="1"/>
      <c r="Z290" s="1"/>
    </row>
    <row r="291">
      <c r="A291" s="1" t="str">
        <f>IFERROR(__xludf.DUMMYFUNCTION("""COMPUTED_VALUE"""),"Quiet Capital")</f>
        <v>Quiet Capital</v>
      </c>
      <c r="B291" s="1" t="str">
        <f>IFERROR(__xludf.DUMMYFUNCTION("""COMPUTED_VALUE"""),"Venture Capital Fund")</f>
        <v>Venture Capital Fund</v>
      </c>
      <c r="C291" s="7" t="str">
        <f>IFERROR(__xludf.DUMMYFUNCTION("""COMPUTED_VALUE"""),"https://www.quiet.com/")</f>
        <v>https://www.quiet.com/</v>
      </c>
      <c r="D291" s="1" t="str">
        <f>IFERROR(__xludf.DUMMYFUNCTION("""COMPUTED_VALUE"""),"United States of America")</f>
        <v>United States of America</v>
      </c>
      <c r="E291" s="1"/>
      <c r="F291" s="1"/>
      <c r="G291" s="1"/>
      <c r="H291" s="1"/>
      <c r="I291" s="1"/>
      <c r="J291" s="1"/>
      <c r="K291" s="2"/>
      <c r="L291" s="2"/>
      <c r="M291" s="2"/>
      <c r="N291" s="3"/>
      <c r="O291" s="2" t="str">
        <f>IFERROR(__xludf.DUMMYFUNCTION("""COMPUTED_VALUE"""),"Quiet Capital is an investment firm that seeks to make venture capital investments.
")</f>
        <v>Quiet Capital is an investment firm that seeks to make venture capital investments.
</v>
      </c>
      <c r="P291" s="1"/>
      <c r="Q291" s="1"/>
      <c r="R291" s="1"/>
      <c r="S291" s="1"/>
      <c r="T291" s="1"/>
      <c r="U291" s="1"/>
      <c r="V291" s="1"/>
      <c r="W291" s="1"/>
      <c r="X291" s="1"/>
      <c r="Y291" s="1"/>
      <c r="Z291" s="1"/>
    </row>
    <row r="292">
      <c r="A292" s="1" t="str">
        <f>IFERROR(__xludf.DUMMYFUNCTION("""COMPUTED_VALUE"""),"Quona Capital")</f>
        <v>Quona Capital</v>
      </c>
      <c r="B292" s="1" t="str">
        <f>IFERROR(__xludf.DUMMYFUNCTION("""COMPUTED_VALUE"""),"Venture Capital Fund")</f>
        <v>Venture Capital Fund</v>
      </c>
      <c r="C292" s="7" t="str">
        <f>IFERROR(__xludf.DUMMYFUNCTION("""COMPUTED_VALUE"""),"https://quona.com/")</f>
        <v>https://quona.com/</v>
      </c>
      <c r="D292" s="1" t="str">
        <f>IFERROR(__xludf.DUMMYFUNCTION("""COMPUTED_VALUE"""),"United States of America")</f>
        <v>United States of America</v>
      </c>
      <c r="E292" s="1"/>
      <c r="F292" s="1"/>
      <c r="G292" s="1"/>
      <c r="H292" s="1"/>
      <c r="I292" s="1"/>
      <c r="J292" s="1"/>
      <c r="K292" s="2"/>
      <c r="L292" s="2"/>
      <c r="M292" s="2"/>
      <c r="N292" s="3"/>
      <c r="O292" s="2" t="str">
        <f>IFERROR(__xludf.DUMMYFUNCTION("""COMPUTED_VALUE"""),"Quona Capital is a venture capital firm that invests in growth-stage financial technology companies in emerging markets.")</f>
        <v>Quona Capital is a venture capital firm that invests in growth-stage financial technology companies in emerging markets.</v>
      </c>
      <c r="P292" s="1"/>
      <c r="Q292" s="1"/>
      <c r="R292" s="1"/>
      <c r="S292" s="1"/>
      <c r="T292" s="1"/>
      <c r="U292" s="1"/>
      <c r="V292" s="1"/>
      <c r="W292" s="1"/>
      <c r="X292" s="1"/>
      <c r="Y292" s="1"/>
      <c r="Z292" s="1"/>
    </row>
    <row r="293">
      <c r="A293" s="1" t="str">
        <f>IFERROR(__xludf.DUMMYFUNCTION("""COMPUTED_VALUE"""),"Rally Cap Ventures")</f>
        <v>Rally Cap Ventures</v>
      </c>
      <c r="B293" s="1" t="str">
        <f>IFERROR(__xludf.DUMMYFUNCTION("""COMPUTED_VALUE"""),"Venture Capital Fund")</f>
        <v>Venture Capital Fund</v>
      </c>
      <c r="C293" s="7" t="str">
        <f>IFERROR(__xludf.DUMMYFUNCTION("""COMPUTED_VALUE"""),"https://rallycapventures.com/")</f>
        <v>https://rallycapventures.com/</v>
      </c>
      <c r="D293" s="1" t="str">
        <f>IFERROR(__xludf.DUMMYFUNCTION("""COMPUTED_VALUE"""),"United States of America")</f>
        <v>United States of America</v>
      </c>
      <c r="E293" s="1"/>
      <c r="F293" s="1" t="str">
        <f>IFERROR(__xludf.DUMMYFUNCTION("""COMPUTED_VALUE"""),"Y")</f>
        <v>Y</v>
      </c>
      <c r="G293" s="1" t="str">
        <f>IFERROR(__xludf.DUMMYFUNCTION("""COMPUTED_VALUE"""),"Y")</f>
        <v>Y</v>
      </c>
      <c r="H293" s="1"/>
      <c r="I293" s="1"/>
      <c r="J293" s="1"/>
      <c r="K293" s="2"/>
      <c r="L293" s="2"/>
      <c r="M293" s="2"/>
      <c r="N293" s="3"/>
      <c r="O293" s="2" t="str">
        <f>IFERROR(__xludf.DUMMYFUNCTION("""COMPUTED_VALUE"""),"Rally Cap is an exclusive community of global fintech angels investing in early stage startups and venture funds in LatAm, Africa and, soon, Southeast Asia.")</f>
        <v>Rally Cap is an exclusive community of global fintech angels investing in early stage startups and venture funds in LatAm, Africa and, soon, Southeast Asia.</v>
      </c>
      <c r="P293" s="1"/>
      <c r="Q293" s="1"/>
      <c r="R293" s="1"/>
      <c r="S293" s="1"/>
      <c r="T293" s="1"/>
      <c r="U293" s="1"/>
      <c r="V293" s="1"/>
      <c r="W293" s="1"/>
      <c r="X293" s="1"/>
      <c r="Y293" s="1"/>
      <c r="Z293" s="1"/>
    </row>
    <row r="294" hidden="1">
      <c r="A294" s="1" t="str">
        <f>IFERROR(__xludf.DUMMYFUNCTION("""COMPUTED_VALUE"""),"Redpoint eventures")</f>
        <v>Redpoint eventures</v>
      </c>
      <c r="B294" s="1" t="str">
        <f>IFERROR(__xludf.DUMMYFUNCTION("""COMPUTED_VALUE"""),"Venture Capital Fund")</f>
        <v>Venture Capital Fund</v>
      </c>
      <c r="C294" s="1"/>
      <c r="D294" s="1" t="str">
        <f>IFERROR(__xludf.DUMMYFUNCTION("""COMPUTED_VALUE"""),"Brazil")</f>
        <v>Brazil</v>
      </c>
      <c r="E294" s="1" t="str">
        <f>IFERROR(__xludf.DUMMYFUNCTION("""COMPUTED_VALUE"""),"Latam")</f>
        <v>Latam</v>
      </c>
      <c r="F294" s="1"/>
      <c r="G294" s="1" t="str">
        <f>IFERROR(__xludf.DUMMYFUNCTION("""COMPUTED_VALUE"""),"Y")</f>
        <v>Y</v>
      </c>
      <c r="H294" s="1" t="str">
        <f>IFERROR(__xludf.DUMMYFUNCTION("""COMPUTED_VALUE"""),"Y")</f>
        <v>Y</v>
      </c>
      <c r="I294" s="1"/>
      <c r="J294" s="1"/>
      <c r="K294" s="2"/>
      <c r="L294" s="2"/>
      <c r="M294" s="2"/>
      <c r="N294" s="3"/>
      <c r="O294" s="2"/>
      <c r="P294" s="1"/>
      <c r="Q294" s="1"/>
      <c r="R294" s="1"/>
      <c r="S294" s="1"/>
      <c r="T294" s="1"/>
      <c r="U294" s="1"/>
      <c r="V294" s="1"/>
      <c r="W294" s="1"/>
      <c r="X294" s="1"/>
      <c r="Y294" s="1"/>
      <c r="Z294" s="1"/>
    </row>
    <row r="295" hidden="1">
      <c r="A295" s="1" t="str">
        <f>IFERROR(__xludf.DUMMYFUNCTION("""COMPUTED_VALUE"""),"Redwood Ventures")</f>
        <v>Redwood Ventures</v>
      </c>
      <c r="B295" s="1" t="str">
        <f>IFERROR(__xludf.DUMMYFUNCTION("""COMPUTED_VALUE"""),"Venture Capital Fund")</f>
        <v>Venture Capital Fund</v>
      </c>
      <c r="C295" s="1"/>
      <c r="D295" s="1" t="str">
        <f>IFERROR(__xludf.DUMMYFUNCTION("""COMPUTED_VALUE"""),"Mexico")</f>
        <v>Mexico</v>
      </c>
      <c r="E295" s="1"/>
      <c r="F295" s="1"/>
      <c r="G295" s="1"/>
      <c r="H295" s="1"/>
      <c r="I295" s="1"/>
      <c r="J295" s="1"/>
      <c r="K295" s="8" t="str">
        <f>IFERROR(__xludf.DUMMYFUNCTION("""COMPUTED_VALUE"""),"https://www.linkedin.com/company/redwood-ventures/")</f>
        <v>https://www.linkedin.com/company/redwood-ventures/</v>
      </c>
      <c r="L295" s="2"/>
      <c r="M295" s="2"/>
      <c r="N295" s="3" t="str">
        <f>IFERROR(__xludf.DUMMYFUNCTION("""COMPUTED_VALUE"""),"Technological base startups")</f>
        <v>Technological base startups</v>
      </c>
      <c r="O295" s="2"/>
      <c r="P295" s="1"/>
      <c r="Q295" s="1"/>
      <c r="R295" s="1"/>
      <c r="S295" s="1"/>
      <c r="T295" s="1"/>
      <c r="U295" s="1"/>
      <c r="V295" s="1"/>
      <c r="W295" s="1"/>
      <c r="X295" s="1"/>
      <c r="Y295" s="1"/>
      <c r="Z295" s="1"/>
    </row>
    <row r="296">
      <c r="A296" s="1" t="str">
        <f>IFERROR(__xludf.DUMMYFUNCTION("""COMPUTED_VALUE"""),"Remote First Capital")</f>
        <v>Remote First Capital</v>
      </c>
      <c r="B296" s="1" t="str">
        <f>IFERROR(__xludf.DUMMYFUNCTION("""COMPUTED_VALUE"""),"Venture Capital Fund")</f>
        <v>Venture Capital Fund</v>
      </c>
      <c r="C296" s="7" t="str">
        <f>IFERROR(__xludf.DUMMYFUNCTION("""COMPUTED_VALUE"""),"https://www.remotefirstcapital.com/")</f>
        <v>https://www.remotefirstcapital.com/</v>
      </c>
      <c r="D296" s="1"/>
      <c r="E296" s="1"/>
      <c r="F296" s="1"/>
      <c r="G296" s="1"/>
      <c r="H296" s="1"/>
      <c r="I296" s="1"/>
      <c r="J296" s="1"/>
      <c r="K296" s="2"/>
      <c r="L296" s="2"/>
      <c r="M296" s="2"/>
      <c r="N296" s="3"/>
      <c r="O296" s="2" t="str">
        <f>IFERROR(__xludf.DUMMYFUNCTION("""COMPUTED_VALUE"""),"Investing in companies that improve remote work or that leverage global work in a unique way.")</f>
        <v>Investing in companies that improve remote work or that leverage global work in a unique way.</v>
      </c>
      <c r="P296" s="1"/>
      <c r="Q296" s="1"/>
      <c r="R296" s="1"/>
      <c r="S296" s="1"/>
      <c r="T296" s="1"/>
      <c r="U296" s="1"/>
      <c r="V296" s="1"/>
      <c r="W296" s="1"/>
      <c r="X296" s="1"/>
      <c r="Y296" s="1"/>
      <c r="Z296" s="1"/>
    </row>
    <row r="297">
      <c r="A297" s="1" t="str">
        <f>IFERROR(__xludf.DUMMYFUNCTION("""COMPUTED_VALUE"""),"Reshape Holdings")</f>
        <v>Reshape Holdings</v>
      </c>
      <c r="B297" s="1" t="str">
        <f>IFERROR(__xludf.DUMMYFUNCTION("""COMPUTED_VALUE"""),"Venture Capital Fund")</f>
        <v>Venture Capital Fund</v>
      </c>
      <c r="C297" s="7" t="str">
        <f>IFERROR(__xludf.DUMMYFUNCTION("""COMPUTED_VALUE"""),"https://reshape.co/")</f>
        <v>https://reshape.co/</v>
      </c>
      <c r="D297" s="1" t="str">
        <f>IFERROR(__xludf.DUMMYFUNCTION("""COMPUTED_VALUE"""),"United States of America")</f>
        <v>United States of America</v>
      </c>
      <c r="E297" s="1"/>
      <c r="F297" s="1"/>
      <c r="G297" s="1" t="str">
        <f>IFERROR(__xludf.DUMMYFUNCTION("""COMPUTED_VALUE"""),"Y")</f>
        <v>Y</v>
      </c>
      <c r="H297" s="1" t="str">
        <f>IFERROR(__xludf.DUMMYFUNCTION("""COMPUTED_VALUE"""),"Y")</f>
        <v>Y</v>
      </c>
      <c r="I297" s="1" t="str">
        <f>IFERROR(__xludf.DUMMYFUNCTION("""COMPUTED_VALUE"""),"Y")</f>
        <v>Y</v>
      </c>
      <c r="J297" s="1" t="str">
        <f>IFERROR(__xludf.DUMMYFUNCTION("""COMPUTED_VALUE"""),"Y")</f>
        <v>Y</v>
      </c>
      <c r="K297" s="2"/>
      <c r="L297" s="2"/>
      <c r="M297" s="2"/>
      <c r="N297" s="3"/>
      <c r="O297" s="2" t="str">
        <f>IFERROR(__xludf.DUMMYFUNCTION("""COMPUTED_VALUE"""),"Reshape is a next-generation investor in technology-enabled companies that need real estate to scale")</f>
        <v>Reshape is a next-generation investor in technology-enabled companies that need real estate to scale</v>
      </c>
      <c r="P297" s="1"/>
      <c r="Q297" s="1">
        <f>IFERROR(__xludf.DUMMYFUNCTION("""COMPUTED_VALUE"""),43770.0)</f>
        <v>43770</v>
      </c>
      <c r="R297" s="1"/>
      <c r="S297" s="1"/>
      <c r="T297" s="1"/>
      <c r="U297" s="1"/>
      <c r="V297" s="1"/>
      <c r="W297" s="1"/>
      <c r="X297" s="1"/>
      <c r="Y297" s="1"/>
      <c r="Z297" s="1"/>
    </row>
    <row r="298">
      <c r="A298" s="1" t="str">
        <f>IFERROR(__xludf.DUMMYFUNCTION("""COMPUTED_VALUE"""),"Rhombuz VC")</f>
        <v>Rhombuz VC</v>
      </c>
      <c r="B298" s="1" t="str">
        <f>IFERROR(__xludf.DUMMYFUNCTION("""COMPUTED_VALUE"""),"Venture Capital Fund")</f>
        <v>Venture Capital Fund</v>
      </c>
      <c r="C298" s="7" t="str">
        <f>IFERROR(__xludf.DUMMYFUNCTION("""COMPUTED_VALUE"""),"https://rhombuz.co/")</f>
        <v>https://rhombuz.co/</v>
      </c>
      <c r="D298" s="1" t="str">
        <f>IFERROR(__xludf.DUMMYFUNCTION("""COMPUTED_VALUE"""),"Brazil")</f>
        <v>Brazil</v>
      </c>
      <c r="E298" s="1"/>
      <c r="F298" s="1"/>
      <c r="G298" s="1"/>
      <c r="H298" s="1"/>
      <c r="I298" s="1"/>
      <c r="J298" s="1"/>
      <c r="K298" s="2"/>
      <c r="L298" s="2"/>
      <c r="M298" s="2"/>
      <c r="N298" s="3"/>
      <c r="O298" s="2" t="str">
        <f>IFERROR(__xludf.DUMMYFUNCTION("""COMPUTED_VALUE"""),"Rhombuz VC is a venture capital platform backed by international senior executives.")</f>
        <v>Rhombuz VC is a venture capital platform backed by international senior executives.</v>
      </c>
      <c r="P298" s="1"/>
      <c r="Q298" s="1"/>
      <c r="R298" s="1"/>
      <c r="S298" s="1"/>
      <c r="T298" s="1"/>
      <c r="U298" s="1"/>
      <c r="V298" s="1"/>
      <c r="W298" s="1"/>
      <c r="X298" s="1"/>
      <c r="Y298" s="1"/>
      <c r="Z298" s="1"/>
    </row>
    <row r="299" hidden="1">
      <c r="A299" s="1" t="str">
        <f>IFERROR(__xludf.DUMMYFUNCTION("""COMPUTED_VALUE"""),"Ribbit Capital")</f>
        <v>Ribbit Capital</v>
      </c>
      <c r="B299" s="1" t="str">
        <f>IFERROR(__xludf.DUMMYFUNCTION("""COMPUTED_VALUE"""),"Venture Capital Fund")</f>
        <v>Venture Capital Fund</v>
      </c>
      <c r="C299" s="1"/>
      <c r="D299" s="1" t="str">
        <f>IFERROR(__xludf.DUMMYFUNCTION("""COMPUTED_VALUE"""),"United States of America")</f>
        <v>United States of America</v>
      </c>
      <c r="E299" s="1"/>
      <c r="F299" s="1" t="str">
        <f>IFERROR(__xludf.DUMMYFUNCTION("""COMPUTED_VALUE"""),"Y")</f>
        <v>Y</v>
      </c>
      <c r="G299" s="1" t="str">
        <f>IFERROR(__xludf.DUMMYFUNCTION("""COMPUTED_VALUE"""),"Y")</f>
        <v>Y</v>
      </c>
      <c r="H299" s="1" t="str">
        <f>IFERROR(__xludf.DUMMYFUNCTION("""COMPUTED_VALUE"""),"Y")</f>
        <v>Y</v>
      </c>
      <c r="I299" s="1" t="str">
        <f>IFERROR(__xludf.DUMMYFUNCTION("""COMPUTED_VALUE"""),"Y")</f>
        <v>Y</v>
      </c>
      <c r="J299" s="1"/>
      <c r="K299" s="8" t="str">
        <f>IFERROR(__xludf.DUMMYFUNCTION("""COMPUTED_VALUE"""),"https://www.linkedin.com/company/ribbit-capital/")</f>
        <v>https://www.linkedin.com/company/ribbit-capital/</v>
      </c>
      <c r="L299" s="2"/>
      <c r="M299" s="2"/>
      <c r="N299" s="3"/>
      <c r="O299" s="2"/>
      <c r="P299" s="1"/>
      <c r="Q299" s="1"/>
      <c r="R299" s="1"/>
      <c r="S299" s="1"/>
      <c r="T299" s="1"/>
      <c r="U299" s="1"/>
      <c r="V299" s="1"/>
      <c r="W299" s="1"/>
      <c r="X299" s="1"/>
      <c r="Y299" s="1"/>
      <c r="Z299" s="1"/>
    </row>
    <row r="300">
      <c r="A300" s="1" t="str">
        <f>IFERROR(__xludf.DUMMYFUNCTION("""COMPUTED_VALUE"""),"Ringold Ventures")</f>
        <v>Ringold Ventures</v>
      </c>
      <c r="B300" s="1" t="str">
        <f>IFERROR(__xludf.DUMMYFUNCTION("""COMPUTED_VALUE"""),"Venture Capital Fund")</f>
        <v>Venture Capital Fund</v>
      </c>
      <c r="C300" s="1"/>
      <c r="D300" s="1" t="str">
        <f>IFERROR(__xludf.DUMMYFUNCTION("""COMPUTED_VALUE"""),"United States of America")</f>
        <v>United States of America</v>
      </c>
      <c r="E300" s="1"/>
      <c r="F300" s="1"/>
      <c r="G300" s="1"/>
      <c r="H300" s="1"/>
      <c r="I300" s="1"/>
      <c r="J300" s="1"/>
      <c r="K300" s="2"/>
      <c r="L300" s="2"/>
      <c r="M300" s="2"/>
      <c r="N300" s="3"/>
      <c r="O300" s="2"/>
      <c r="P300" s="1"/>
      <c r="Q300" s="1"/>
      <c r="R300" s="1"/>
      <c r="S300" s="1"/>
      <c r="T300" s="1"/>
      <c r="U300" s="1"/>
      <c r="V300" s="1"/>
      <c r="W300" s="1"/>
      <c r="X300" s="1"/>
      <c r="Y300" s="1"/>
      <c r="Z300" s="1"/>
    </row>
    <row r="301">
      <c r="A301" s="1" t="str">
        <f>IFERROR(__xludf.DUMMYFUNCTION("""COMPUTED_VALUE"""),"Rise Capital")</f>
        <v>Rise Capital</v>
      </c>
      <c r="B301" s="1" t="str">
        <f>IFERROR(__xludf.DUMMYFUNCTION("""COMPUTED_VALUE"""),"Venture Capital Fund")</f>
        <v>Venture Capital Fund</v>
      </c>
      <c r="C301" s="7" t="str">
        <f>IFERROR(__xludf.DUMMYFUNCTION("""COMPUTED_VALUE"""),"http://www.risecapital.com")</f>
        <v>http://www.risecapital.com</v>
      </c>
      <c r="D301" s="1" t="str">
        <f>IFERROR(__xludf.DUMMYFUNCTION("""COMPUTED_VALUE"""),"United States of America")</f>
        <v>United States of America</v>
      </c>
      <c r="E301" s="1"/>
      <c r="F301" s="1"/>
      <c r="G301" s="1"/>
      <c r="H301" s="1"/>
      <c r="I301" s="1"/>
      <c r="J301" s="1"/>
      <c r="K301" s="2"/>
      <c r="L301" s="2"/>
      <c r="M301" s="2"/>
      <c r="N301" s="3"/>
      <c r="O301" s="2" t="str">
        <f>IFERROR(__xludf.DUMMYFUNCTION("""COMPUTED_VALUE"""),"Rise Capital is a global investment firm that focuses on making expansion-stage investments in Internet businesses in Emerging Markets.")</f>
        <v>Rise Capital is a global investment firm that focuses on making expansion-stage investments in Internet businesses in Emerging Markets.</v>
      </c>
      <c r="P301" s="1"/>
      <c r="Q301" s="1"/>
      <c r="R301" s="1"/>
      <c r="S301" s="1"/>
      <c r="T301" s="1"/>
      <c r="U301" s="1"/>
      <c r="V301" s="1"/>
      <c r="W301" s="1"/>
      <c r="X301" s="1"/>
      <c r="Y301" s="1"/>
      <c r="Z301" s="1"/>
    </row>
    <row r="302">
      <c r="A302" s="1" t="str">
        <f>IFERROR(__xludf.DUMMYFUNCTION("""COMPUTED_VALUE"""),"Riverwood Capital")</f>
        <v>Riverwood Capital</v>
      </c>
      <c r="B302" s="1" t="str">
        <f>IFERROR(__xludf.DUMMYFUNCTION("""COMPUTED_VALUE"""),"Venture Capital Fund")</f>
        <v>Venture Capital Fund</v>
      </c>
      <c r="C302" s="7" t="str">
        <f>IFERROR(__xludf.DUMMYFUNCTION("""COMPUTED_VALUE"""),"https://www.riverwoodcapital.com/")</f>
        <v>https://www.riverwoodcapital.com/</v>
      </c>
      <c r="D302" s="1" t="str">
        <f>IFERROR(__xludf.DUMMYFUNCTION("""COMPUTED_VALUE"""),"United States of America")</f>
        <v>United States of America</v>
      </c>
      <c r="E302" s="1"/>
      <c r="F302" s="1"/>
      <c r="G302" s="1"/>
      <c r="H302" s="1"/>
      <c r="I302" s="1"/>
      <c r="J302" s="1"/>
      <c r="K302" s="2"/>
      <c r="L302" s="2"/>
      <c r="M302" s="2"/>
      <c r="N302" s="3"/>
      <c r="O302" s="2" t="str">
        <f>IFERROR(__xludf.DUMMYFUNCTION("""COMPUTED_VALUE"""),"Riverwood Capital is a leading growth stage technology investment firm")</f>
        <v>Riverwood Capital is a leading growth stage technology investment firm</v>
      </c>
      <c r="P302" s="1"/>
      <c r="Q302" s="1"/>
      <c r="R302" s="1"/>
      <c r="S302" s="1"/>
      <c r="T302" s="1"/>
      <c r="U302" s="1"/>
      <c r="V302" s="1"/>
      <c r="W302" s="1"/>
      <c r="X302" s="1"/>
      <c r="Y302" s="1"/>
      <c r="Z302" s="1"/>
    </row>
    <row r="303">
      <c r="A303" s="1" t="str">
        <f>IFERROR(__xludf.DUMMYFUNCTION("""COMPUTED_VALUE"""),"Rocka")</f>
        <v>Rocka</v>
      </c>
      <c r="B303" s="1" t="str">
        <f>IFERROR(__xludf.DUMMYFUNCTION("""COMPUTED_VALUE"""),"Venture Builder")</f>
        <v>Venture Builder</v>
      </c>
      <c r="C303" s="7" t="str">
        <f>IFERROR(__xludf.DUMMYFUNCTION("""COMPUTED_VALUE"""),"https://rocka.co/")</f>
        <v>https://rocka.co/</v>
      </c>
      <c r="D303" s="1" t="str">
        <f>IFERROR(__xludf.DUMMYFUNCTION("""COMPUTED_VALUE"""),"United States of America")</f>
        <v>United States of America</v>
      </c>
      <c r="E303" s="1"/>
      <c r="F303" s="1"/>
      <c r="G303" s="1"/>
      <c r="H303" s="1"/>
      <c r="I303" s="1"/>
      <c r="J303" s="1"/>
      <c r="K303" s="2"/>
      <c r="L303" s="2"/>
      <c r="M303" s="2"/>
      <c r="N303" s="3"/>
      <c r="O303" s="2" t="str">
        <f>IFERROR(__xludf.DUMMYFUNCTION("""COMPUTED_VALUE"""),"Rocka is a venture builder with a focus on tech startups. It builds products for its portfolio, and also supports entrepreneurs.")</f>
        <v>Rocka is a venture builder with a focus on tech startups. It builds products for its portfolio, and also supports entrepreneurs.</v>
      </c>
      <c r="P303" s="1"/>
      <c r="Q303" s="1"/>
      <c r="R303" s="1"/>
      <c r="S303" s="1"/>
      <c r="T303" s="1"/>
      <c r="U303" s="1"/>
      <c r="V303" s="1"/>
      <c r="W303" s="1"/>
      <c r="X303" s="1"/>
      <c r="Y303" s="1"/>
      <c r="Z303" s="1"/>
    </row>
    <row r="304">
      <c r="A304" s="1" t="str">
        <f>IFERROR(__xludf.DUMMYFUNCTION("""COMPUTED_VALUE"""),"Rockstart")</f>
        <v>Rockstart</v>
      </c>
      <c r="B304" s="1" t="str">
        <f>IFERROR(__xludf.DUMMYFUNCTION("""COMPUTED_VALUE"""),"Accelerator")</f>
        <v>Accelerator</v>
      </c>
      <c r="C304" s="7" t="str">
        <f>IFERROR(__xludf.DUMMYFUNCTION("""COMPUTED_VALUE"""),"https://www.rockstart.com/emerging-tech/web-mobile-colombia/")</f>
        <v>https://www.rockstart.com/emerging-tech/web-mobile-colombia/</v>
      </c>
      <c r="D304" s="1" t="str">
        <f>IFERROR(__xludf.DUMMYFUNCTION("""COMPUTED_VALUE"""),"The Netherlands")</f>
        <v>The Netherlands</v>
      </c>
      <c r="E304" s="1"/>
      <c r="F304" s="1"/>
      <c r="G304" s="1"/>
      <c r="H304" s="1"/>
      <c r="I304" s="1"/>
      <c r="J304" s="1"/>
      <c r="K304" s="2"/>
      <c r="L304" s="2"/>
      <c r="M304" s="2"/>
      <c r="N304" s="3"/>
      <c r="O304" s="2" t="str">
        <f>IFERROR(__xludf.DUMMYFUNCTION("""COMPUTED_VALUE"""),"Rockstart is a global accelerator-VC who empowers purpose-driven founders across 3 domains: Energy, AgriFood and Emerging Tech.")</f>
        <v>Rockstart is a global accelerator-VC who empowers purpose-driven founders across 3 domains: Energy, AgriFood and Emerging Tech.</v>
      </c>
      <c r="P304" s="1"/>
      <c r="Q304" s="1"/>
      <c r="R304" s="1"/>
      <c r="S304" s="1"/>
      <c r="T304" s="1"/>
      <c r="U304" s="1"/>
      <c r="V304" s="1"/>
      <c r="W304" s="1"/>
      <c r="X304" s="1"/>
      <c r="Y304" s="1"/>
      <c r="Z304" s="1"/>
    </row>
    <row r="305">
      <c r="A305" s="1" t="str">
        <f>IFERROR(__xludf.DUMMYFUNCTION("""COMPUTED_VALUE"""),"Rodina")</f>
        <v>Rodina</v>
      </c>
      <c r="B305" s="1" t="str">
        <f>IFERROR(__xludf.DUMMYFUNCTION("""COMPUTED_VALUE"""),"Family Office")</f>
        <v>Family Office</v>
      </c>
      <c r="C305" s="7" t="str">
        <f>IFERROR(__xludf.DUMMYFUNCTION("""COMPUTED_VALUE"""),"https://www.linkedin.com/company/rodina/about/")</f>
        <v>https://www.linkedin.com/company/rodina/about/</v>
      </c>
      <c r="D305" s="1" t="str">
        <f>IFERROR(__xludf.DUMMYFUNCTION("""COMPUTED_VALUE"""),"Mexico")</f>
        <v>Mexico</v>
      </c>
      <c r="E305" s="1"/>
      <c r="F305" s="1"/>
      <c r="G305" s="1"/>
      <c r="H305" s="1"/>
      <c r="I305" s="1"/>
      <c r="J305" s="1"/>
      <c r="K305" s="2"/>
      <c r="L305" s="2"/>
      <c r="M305" s="2"/>
      <c r="N305" s="3"/>
      <c r="O305" s="2" t="str">
        <f>IFERROR(__xludf.DUMMYFUNCTION("""COMPUTED_VALUE"""),"Rodina is a Family Office focused on investments primarily in Mexico and the United States. We create the difference maker in our investments by following a strict investment criteria followed by a full commitment to our portfolio.")</f>
        <v>Rodina is a Family Office focused on investments primarily in Mexico and the United States. We create the difference maker in our investments by following a strict investment criteria followed by a full commitment to our portfolio.</v>
      </c>
      <c r="P305" s="1"/>
      <c r="Q305" s="1"/>
      <c r="R305" s="1"/>
      <c r="S305" s="1"/>
      <c r="T305" s="1"/>
      <c r="U305" s="1"/>
      <c r="V305" s="1"/>
      <c r="W305" s="1"/>
      <c r="X305" s="1"/>
      <c r="Y305" s="1"/>
      <c r="Z305" s="1"/>
    </row>
    <row r="306">
      <c r="A306" s="1" t="str">
        <f>IFERROR(__xludf.DUMMYFUNCTION("""COMPUTED_VALUE"""),"Rosental Inversiones")</f>
        <v>Rosental Inversiones</v>
      </c>
      <c r="B306" s="1" t="str">
        <f>IFERROR(__xludf.DUMMYFUNCTION("""COMPUTED_VALUE"""),"Family Office")</f>
        <v>Family Office</v>
      </c>
      <c r="C306" s="7" t="str">
        <f>IFERROR(__xludf.DUMMYFUNCTION("""COMPUTED_VALUE"""),"https://www.rosental.com/")</f>
        <v>https://www.rosental.com/</v>
      </c>
      <c r="D306" s="1" t="str">
        <f>IFERROR(__xludf.DUMMYFUNCTION("""COMPUTED_VALUE"""),"Argentina")</f>
        <v>Argentina</v>
      </c>
      <c r="E306" s="1"/>
      <c r="F306" s="1"/>
      <c r="G306" s="1"/>
      <c r="H306" s="1"/>
      <c r="I306" s="1"/>
      <c r="J306" s="1"/>
      <c r="K306" s="2"/>
      <c r="L306" s="2"/>
      <c r="M306" s="2"/>
      <c r="N306" s="3"/>
      <c r="O306" s="2" t="str">
        <f>IFERROR(__xludf.DUMMYFUNCTION("""COMPUTED_VALUE"""),"ROSENTAL is one of the business groups with the greatest business projection in Latin America. With participation in industries that include sectors such as agriculture, construction, hotels, food, technology and its consolidated base in the financial sec"&amp;"tor. This recognition has been achieved thanks to the permanent search for opportunities adapted to the reality of the country, within a framework of trust, responsibility and discretion.")</f>
        <v>ROSENTAL is one of the business groups with the greatest business projection in Latin America. With participation in industries that include sectors such as agriculture, construction, hotels, food, technology and its consolidated base in the financial sector. This recognition has been achieved thanks to the permanent search for opportunities adapted to the reality of the country, within a framework of trust, responsibility and discretion.</v>
      </c>
      <c r="P306" s="1"/>
      <c r="Q306" s="1"/>
      <c r="R306" s="1"/>
      <c r="S306" s="1"/>
      <c r="T306" s="1"/>
      <c r="U306" s="1"/>
      <c r="V306" s="1"/>
      <c r="W306" s="1"/>
      <c r="X306" s="1"/>
      <c r="Y306" s="1"/>
      <c r="Z306" s="1"/>
    </row>
    <row r="307">
      <c r="A307" s="1" t="str">
        <f>IFERROR(__xludf.DUMMYFUNCTION("""COMPUTED_VALUE"""),"Seaya Ventures")</f>
        <v>Seaya Ventures</v>
      </c>
      <c r="B307" s="1" t="str">
        <f>IFERROR(__xludf.DUMMYFUNCTION("""COMPUTED_VALUE"""),"Venture Capital Fund")</f>
        <v>Venture Capital Fund</v>
      </c>
      <c r="C307" s="7" t="str">
        <f>IFERROR(__xludf.DUMMYFUNCTION("""COMPUTED_VALUE"""),"https://seayaventures.com/")</f>
        <v>https://seayaventures.com/</v>
      </c>
      <c r="D307" s="1" t="str">
        <f>IFERROR(__xludf.DUMMYFUNCTION("""COMPUTED_VALUE"""),"Spain")</f>
        <v>Spain</v>
      </c>
      <c r="E307" s="1"/>
      <c r="F307" s="1"/>
      <c r="G307" s="1"/>
      <c r="H307" s="1"/>
      <c r="I307" s="1"/>
      <c r="J307" s="1"/>
      <c r="K307" s="2"/>
      <c r="L307" s="2"/>
      <c r="M307" s="2"/>
      <c r="N307" s="3"/>
      <c r="O307" s="2" t="str">
        <f>IFERROR(__xludf.DUMMYFUNCTION("""COMPUTED_VALUE"""),"Seaya Ventures is a venture fund investing in early and growth-stage Internet and technology-enabled companies.")</f>
        <v>Seaya Ventures is a venture fund investing in early and growth-stage Internet and technology-enabled companies.</v>
      </c>
      <c r="P307" s="1"/>
      <c r="Q307" s="1"/>
      <c r="R307" s="1"/>
      <c r="S307" s="1"/>
      <c r="T307" s="1"/>
      <c r="U307" s="1"/>
      <c r="V307" s="1"/>
      <c r="W307" s="1"/>
      <c r="X307" s="1"/>
      <c r="Y307" s="1"/>
      <c r="Z307" s="1"/>
    </row>
    <row r="308">
      <c r="A308" s="1" t="str">
        <f>IFERROR(__xludf.DUMMYFUNCTION("""COMPUTED_VALUE"""),"Siembra Capitales")</f>
        <v>Siembra Capitales</v>
      </c>
      <c r="B308" s="1" t="str">
        <f>IFERROR(__xludf.DUMMYFUNCTION("""COMPUTED_VALUE"""),"Family Office")</f>
        <v>Family Office</v>
      </c>
      <c r="C308" s="7" t="str">
        <f>IFERROR(__xludf.DUMMYFUNCTION("""COMPUTED_VALUE"""),"http://www.siembracapitales.com")</f>
        <v>http://www.siembracapitales.com</v>
      </c>
      <c r="D308" s="1" t="str">
        <f>IFERROR(__xludf.DUMMYFUNCTION("""COMPUTED_VALUE"""),"Mexico")</f>
        <v>Mexico</v>
      </c>
      <c r="E308" s="1"/>
      <c r="F308" s="1"/>
      <c r="G308" s="1"/>
      <c r="H308" s="1"/>
      <c r="I308" s="1"/>
      <c r="J308" s="1"/>
      <c r="K308" s="2"/>
      <c r="L308" s="2" t="str">
        <f>IFERROR(__xludf.DUMMYFUNCTION("""COMPUTED_VALUE"""),"2M - 20M USD")</f>
        <v>2M - 20M USD</v>
      </c>
      <c r="M308" s="2" t="str">
        <f>IFERROR(__xludf.DUMMYFUNCTION("""COMPUTED_VALUE"""),"Agnostic. Avoid Health, Education, Mining, Oil &amp; Gas, Real Estate")</f>
        <v>Agnostic. Avoid Health, Education, Mining, Oil &amp; Gas, Real Estate</v>
      </c>
      <c r="N308" s="3"/>
      <c r="O308" s="2" t="str">
        <f>IFERROR(__xludf.DUMMYFUNCTION("""COMPUTED_VALUE"""),"Siembra Capitales is a private equity fund based in Guadalajara that invests equity and debt in growth stage companies.
Siembra Capitales is focused on adding value through smart money on each and every investment playing active roles on majority stakes o"&amp;"r selective minority ones within a multi-sector industry.")</f>
        <v>Siembra Capitales is a private equity fund based in Guadalajara that invests equity and debt in growth stage companies.
Siembra Capitales is focused on adding value through smart money on each and every investment playing active roles on majority stakes or selective minority ones within a multi-sector industry.</v>
      </c>
      <c r="P308" s="1"/>
      <c r="Q308" s="1"/>
      <c r="R308" s="1"/>
      <c r="S308" s="1"/>
      <c r="T308" s="1"/>
      <c r="U308" s="1"/>
      <c r="V308" s="1"/>
      <c r="W308" s="1"/>
      <c r="X308" s="1"/>
      <c r="Y308" s="1"/>
      <c r="Z308" s="1"/>
    </row>
    <row r="309">
      <c r="A309" s="1" t="str">
        <f>IFERROR(__xludf.DUMMYFUNCTION("""COMPUTED_VALUE"""),"Simma Capital")</f>
        <v>Simma Capital</v>
      </c>
      <c r="B309" s="1" t="str">
        <f>IFERROR(__xludf.DUMMYFUNCTION("""COMPUTED_VALUE"""),"Venture Capital &amp; Private Equity")</f>
        <v>Venture Capital &amp; Private Equity</v>
      </c>
      <c r="C309" s="7" t="str">
        <f>IFERROR(__xludf.DUMMYFUNCTION("""COMPUTED_VALUE"""),"https://www.simmacapital.com/")</f>
        <v>https://www.simmacapital.com/</v>
      </c>
      <c r="D309" s="1"/>
      <c r="E309" s="1" t="str">
        <f>IFERROR(__xludf.DUMMYFUNCTION("""COMPUTED_VALUE"""),"Latin America")</f>
        <v>Latin America</v>
      </c>
      <c r="F309" s="1"/>
      <c r="G309" s="1"/>
      <c r="H309" s="1"/>
      <c r="I309" s="1"/>
      <c r="J309" s="1"/>
      <c r="K309" s="2" t="str">
        <f>IFERROR(__xludf.DUMMYFUNCTION("""COMPUTED_VALUE"""),"Latin America")</f>
        <v>Latin America</v>
      </c>
      <c r="L309" s="2"/>
      <c r="M309" s="2"/>
      <c r="N309" s="3"/>
      <c r="O309" s="2" t="str">
        <f>IFERROR(__xludf.DUMMYFUNCTION("""COMPUTED_VALUE"""),"arly stage Venture Capital fund focus in Colombia and LATAM")</f>
        <v>arly stage Venture Capital fund focus in Colombia and LATAM</v>
      </c>
      <c r="P309" s="1"/>
      <c r="Q309" s="1"/>
      <c r="R309" s="1"/>
      <c r="S309" s="1"/>
      <c r="T309" s="1"/>
      <c r="U309" s="1"/>
      <c r="V309" s="1"/>
      <c r="W309" s="1"/>
      <c r="X309" s="1"/>
      <c r="Y309" s="1"/>
      <c r="Z309" s="1"/>
    </row>
    <row r="310" hidden="1">
      <c r="A310" s="1" t="str">
        <f>IFERROR(__xludf.DUMMYFUNCTION("""COMPUTED_VALUE"""),"SIPI FUND")</f>
        <v>SIPI FUND</v>
      </c>
      <c r="B310" s="1" t="str">
        <f>IFERROR(__xludf.DUMMYFUNCTION("""COMPUTED_VALUE"""),"Venture Capital Fund")</f>
        <v>Venture Capital Fund</v>
      </c>
      <c r="C310" s="1"/>
      <c r="D310" s="1" t="str">
        <f>IFERROR(__xludf.DUMMYFUNCTION("""COMPUTED_VALUE"""),"Mexico")</f>
        <v>Mexico</v>
      </c>
      <c r="E310" s="1"/>
      <c r="F310" s="1" t="str">
        <f>IFERROR(__xludf.DUMMYFUNCTION("""COMPUTED_VALUE"""),"Y")</f>
        <v>Y</v>
      </c>
      <c r="G310" s="1"/>
      <c r="H310" s="1"/>
      <c r="I310" s="1"/>
      <c r="J310" s="1"/>
      <c r="K310" s="8" t="str">
        <f>IFERROR(__xludf.DUMMYFUNCTION("""COMPUTED_VALUE"""),"linkedin.com/company/sipi-fund/")</f>
        <v>linkedin.com/company/sipi-fund/</v>
      </c>
      <c r="L310" s="2"/>
      <c r="M310" s="2"/>
      <c r="N310" s="3" t="str">
        <f>IFERROR(__xludf.DUMMYFUNCTION("""COMPUTED_VALUE"""),"Scientific innovation")</f>
        <v>Scientific innovation</v>
      </c>
      <c r="O310" s="2"/>
      <c r="P310" s="1"/>
      <c r="Q310" s="1"/>
      <c r="R310" s="1"/>
      <c r="S310" s="1"/>
      <c r="T310" s="1"/>
      <c r="U310" s="1"/>
      <c r="V310" s="1"/>
      <c r="W310" s="1"/>
      <c r="X310" s="1"/>
      <c r="Y310" s="1"/>
      <c r="Z310" s="1"/>
    </row>
    <row r="311">
      <c r="A311" s="1" t="str">
        <f>IFERROR(__xludf.DUMMYFUNCTION("""COMPUTED_VALUE"""),"Smart Impact Accelerator")</f>
        <v>Smart Impact Accelerator</v>
      </c>
      <c r="B311" s="1" t="str">
        <f>IFERROR(__xludf.DUMMYFUNCTION("""COMPUTED_VALUE"""),"Accelerator")</f>
        <v>Accelerator</v>
      </c>
      <c r="C311" s="7" t="str">
        <f>IFERROR(__xludf.DUMMYFUNCTION("""COMPUTED_VALUE"""),"https://www.smartimpact.org/")</f>
        <v>https://www.smartimpact.org/</v>
      </c>
      <c r="D311" s="1" t="str">
        <f>IFERROR(__xludf.DUMMYFUNCTION("""COMPUTED_VALUE"""),"Mexico")</f>
        <v>Mexico</v>
      </c>
      <c r="E311" s="1"/>
      <c r="F311" s="1"/>
      <c r="G311" s="1"/>
      <c r="H311" s="1"/>
      <c r="I311" s="1"/>
      <c r="J311" s="1"/>
      <c r="K311" s="2"/>
      <c r="L311" s="2"/>
      <c r="M311" s="2"/>
      <c r="N311" s="3"/>
      <c r="O311" s="2"/>
      <c r="P311" s="1" t="str">
        <f>IFERROR(__xludf.DUMMYFUNCTION("""COMPUTED_VALUE"""),"???")</f>
        <v>???</v>
      </c>
      <c r="Q311" s="1"/>
      <c r="R311" s="1"/>
      <c r="S311" s="1"/>
      <c r="T311" s="1"/>
      <c r="U311" s="1"/>
      <c r="V311" s="1"/>
      <c r="W311" s="1"/>
      <c r="X311" s="1"/>
      <c r="Y311" s="1"/>
      <c r="Z311" s="1"/>
    </row>
    <row r="312">
      <c r="A312" s="1" t="str">
        <f>IFERROR(__xludf.DUMMYFUNCTION("""COMPUTED_VALUE"""),"SocialAtom")</f>
        <v>SocialAtom</v>
      </c>
      <c r="B312" s="1" t="str">
        <f>IFERROR(__xludf.DUMMYFUNCTION("""COMPUTED_VALUE"""),"Venture Capital Fund")</f>
        <v>Venture Capital Fund</v>
      </c>
      <c r="C312" s="7" t="str">
        <f>IFERROR(__xludf.DUMMYFUNCTION("""COMPUTED_VALUE"""),"https://socialatomgroup.com/")</f>
        <v>https://socialatomgroup.com/</v>
      </c>
      <c r="D312" s="1" t="str">
        <f>IFERROR(__xludf.DUMMYFUNCTION("""COMPUTED_VALUE"""),"United States of America")</f>
        <v>United States of America</v>
      </c>
      <c r="E312" s="1"/>
      <c r="F312" s="1"/>
      <c r="G312" s="1" t="str">
        <f>IFERROR(__xludf.DUMMYFUNCTION("""COMPUTED_VALUE"""),"Y")</f>
        <v>Y</v>
      </c>
      <c r="H312" s="1"/>
      <c r="I312" s="1"/>
      <c r="J312" s="1"/>
      <c r="K312" s="2"/>
      <c r="L312" s="2"/>
      <c r="M312" s="2"/>
      <c r="N312" s="3"/>
      <c r="O312" s="2" t="str">
        <f>IFERROR(__xludf.DUMMYFUNCTION("""COMPUTED_VALUE"""),"Socialatom Ventures is an international team of entrepreneurs, investors and business professionals.")</f>
        <v>Socialatom Ventures is an international team of entrepreneurs, investors and business professionals.</v>
      </c>
      <c r="P312" s="1"/>
      <c r="Q312" s="1"/>
      <c r="R312" s="1"/>
      <c r="S312" s="1"/>
      <c r="T312" s="1"/>
      <c r="U312" s="1"/>
      <c r="V312" s="1"/>
      <c r="W312" s="1"/>
      <c r="X312" s="1"/>
      <c r="Y312" s="1"/>
      <c r="Z312" s="1"/>
    </row>
    <row r="313">
      <c r="A313" s="1" t="str">
        <f>IFERROR(__xludf.DUMMYFUNCTION("""COMPUTED_VALUE"""),"SocialLab")</f>
        <v>SocialLab</v>
      </c>
      <c r="B313" s="1" t="str">
        <f>IFERROR(__xludf.DUMMYFUNCTION("""COMPUTED_VALUE"""),"Accelerator")</f>
        <v>Accelerator</v>
      </c>
      <c r="C313" s="7" t="str">
        <f>IFERROR(__xludf.DUMMYFUNCTION("""COMPUTED_VALUE"""),"https://www.socialab.com/")</f>
        <v>https://www.socialab.com/</v>
      </c>
      <c r="D313" s="1" t="str">
        <f>IFERROR(__xludf.DUMMYFUNCTION("""COMPUTED_VALUE"""),"Chile")</f>
        <v>Chile</v>
      </c>
      <c r="E313" s="1"/>
      <c r="F313" s="1"/>
      <c r="G313" s="1"/>
      <c r="H313" s="1"/>
      <c r="I313" s="1"/>
      <c r="J313" s="1"/>
      <c r="K313" s="2"/>
      <c r="L313" s="2"/>
      <c r="M313" s="2"/>
      <c r="N313" s="3"/>
      <c r="O313" s="2" t="str">
        <f>IFERROR(__xludf.DUMMYFUNCTION("""COMPUTED_VALUE"""),"We are the largest network of social innovators in Latin America. Today we are present in Chile, Colombia, Argentina, Mexico, Uruguay, Guatemala and Brazil.")</f>
        <v>We are the largest network of social innovators in Latin America. Today we are present in Chile, Colombia, Argentina, Mexico, Uruguay, Guatemala and Brazil.</v>
      </c>
      <c r="P313" s="1"/>
      <c r="Q313" s="1"/>
      <c r="R313" s="1"/>
      <c r="S313" s="1"/>
      <c r="T313" s="1"/>
      <c r="U313" s="1"/>
      <c r="V313" s="1"/>
      <c r="W313" s="1"/>
      <c r="X313" s="1"/>
      <c r="Y313" s="1"/>
      <c r="Z313" s="1"/>
    </row>
    <row r="314">
      <c r="A314" s="1" t="str">
        <f>IFERROR(__xludf.DUMMYFUNCTION("""COMPUTED_VALUE"""),"SoftBank")</f>
        <v>SoftBank</v>
      </c>
      <c r="B314" s="1" t="str">
        <f>IFERROR(__xludf.DUMMYFUNCTION("""COMPUTED_VALUE"""),"Corporate Venture Fund")</f>
        <v>Corporate Venture Fund</v>
      </c>
      <c r="C314" s="7" t="str">
        <f>IFERROR(__xludf.DUMMYFUNCTION("""COMPUTED_VALUE"""),"http://www.softbank.co.jp/en/index.html")</f>
        <v>http://www.softbank.co.jp/en/index.html</v>
      </c>
      <c r="D314" s="1" t="str">
        <f>IFERROR(__xludf.DUMMYFUNCTION("""COMPUTED_VALUE"""),"Japan")</f>
        <v>Japan</v>
      </c>
      <c r="E314" s="1" t="str">
        <f>IFERROR(__xludf.DUMMYFUNCTION("""COMPUTED_VALUE"""),"Global")</f>
        <v>Global</v>
      </c>
      <c r="F314" s="1"/>
      <c r="G314" s="1"/>
      <c r="H314" s="1"/>
      <c r="I314" s="1" t="str">
        <f>IFERROR(__xludf.DUMMYFUNCTION("""COMPUTED_VALUE"""),"Y")</f>
        <v>Y</v>
      </c>
      <c r="J314" s="1" t="str">
        <f>IFERROR(__xludf.DUMMYFUNCTION("""COMPUTED_VALUE"""),"Y")</f>
        <v>Y</v>
      </c>
      <c r="K314" s="2" t="str">
        <f>IFERROR(__xludf.DUMMYFUNCTION("""COMPUTED_VALUE"""),"Global")</f>
        <v>Global</v>
      </c>
      <c r="L314" s="2" t="str">
        <f>IFERROR(__xludf.DUMMYFUNCTION("""COMPUTED_VALUE"""),"100M+")</f>
        <v>100M+</v>
      </c>
      <c r="M314" s="2" t="str">
        <f>IFERROR(__xludf.DUMMYFUNCTION("""COMPUTED_VALUE"""),"Growth equity in tech industries in Latam")</f>
        <v>Growth equity in tech industries in Latam</v>
      </c>
      <c r="N314" s="3"/>
      <c r="O314" s="2" t="str">
        <f>IFERROR(__xludf.DUMMYFUNCTION("""COMPUTED_VALUE"""),"SoftBank Capital is a multi-stage venture capital fund that partners with entrepreneurs building disruptive enduring businesses.")</f>
        <v>SoftBank Capital is a multi-stage venture capital fund that partners with entrepreneurs building disruptive enduring businesses.</v>
      </c>
      <c r="P314" s="1"/>
      <c r="Q314" s="1"/>
      <c r="R314" s="1"/>
      <c r="S314" s="1"/>
      <c r="T314" s="1"/>
      <c r="U314" s="1"/>
      <c r="V314" s="1"/>
      <c r="W314" s="1"/>
      <c r="X314" s="1"/>
      <c r="Y314" s="1"/>
      <c r="Z314" s="1"/>
    </row>
    <row r="315">
      <c r="A315" s="1" t="str">
        <f>IFERROR(__xludf.DUMMYFUNCTION("""COMPUTED_VALUE"""),"SoftBank International")</f>
        <v>SoftBank International</v>
      </c>
      <c r="B315" s="1" t="str">
        <f>IFERROR(__xludf.DUMMYFUNCTION("""COMPUTED_VALUE"""),"Venture Capital Fund")</f>
        <v>Venture Capital Fund</v>
      </c>
      <c r="C315" s="7" t="str">
        <f>IFERROR(__xludf.DUMMYFUNCTION("""COMPUTED_VALUE"""),"http://www.softbank.co.jp/en/index.html")</f>
        <v>http://www.softbank.co.jp/en/index.html</v>
      </c>
      <c r="D315" s="1" t="str">
        <f>IFERROR(__xludf.DUMMYFUNCTION("""COMPUTED_VALUE"""),"Japan")</f>
        <v>Japan</v>
      </c>
      <c r="E315" s="1" t="str">
        <f>IFERROR(__xludf.DUMMYFUNCTION("""COMPUTED_VALUE"""),"Global")</f>
        <v>Global</v>
      </c>
      <c r="F315" s="1"/>
      <c r="G315" s="1"/>
      <c r="H315" s="1"/>
      <c r="I315" s="1" t="str">
        <f>IFERROR(__xludf.DUMMYFUNCTION("""COMPUTED_VALUE"""),"Y")</f>
        <v>Y</v>
      </c>
      <c r="J315" s="1" t="str">
        <f>IFERROR(__xludf.DUMMYFUNCTION("""COMPUTED_VALUE"""),"Y")</f>
        <v>Y</v>
      </c>
      <c r="K315" s="2" t="str">
        <f>IFERROR(__xludf.DUMMYFUNCTION("""COMPUTED_VALUE"""),"Global")</f>
        <v>Global</v>
      </c>
      <c r="L315" s="2" t="str">
        <f>IFERROR(__xludf.DUMMYFUNCTION("""COMPUTED_VALUE"""),"100M+")</f>
        <v>100M+</v>
      </c>
      <c r="M315" s="2" t="str">
        <f>IFERROR(__xludf.DUMMYFUNCTION("""COMPUTED_VALUE"""),"Growth equity in tech industries in Latam")</f>
        <v>Growth equity in tech industries in Latam</v>
      </c>
      <c r="N315" s="3"/>
      <c r="O315" s="2" t="str">
        <f>IFERROR(__xludf.DUMMYFUNCTION("""COMPUTED_VALUE"""),"SoftBank Capital is a multi-stage venture capital fund that partners with entrepreneurs building disruptive enduring businesses.")</f>
        <v>SoftBank Capital is a multi-stage venture capital fund that partners with entrepreneurs building disruptive enduring businesses.</v>
      </c>
      <c r="P315" s="1"/>
      <c r="Q315" s="1"/>
      <c r="R315" s="1"/>
      <c r="S315" s="1"/>
      <c r="T315" s="1"/>
      <c r="U315" s="1"/>
      <c r="V315" s="1"/>
      <c r="W315" s="1"/>
      <c r="X315" s="1"/>
      <c r="Y315" s="1"/>
      <c r="Z315" s="1"/>
    </row>
    <row r="316">
      <c r="A316" s="1" t="str">
        <f>IFERROR(__xludf.DUMMYFUNCTION("""COMPUTED_VALUE"""),"Softlandings Uruguay")</f>
        <v>Softlandings Uruguay</v>
      </c>
      <c r="B316" s="1" t="str">
        <f>IFERROR(__xludf.DUMMYFUNCTION("""COMPUTED_VALUE"""),"Accelerator")</f>
        <v>Accelerator</v>
      </c>
      <c r="C316" s="7" t="str">
        <f>IFERROR(__xludf.DUMMYFUNCTION("""COMPUTED_VALUE"""),"http://www.softlandingsuruguay.org/")</f>
        <v>http://www.softlandingsuruguay.org/</v>
      </c>
      <c r="D316" s="1" t="str">
        <f>IFERROR(__xludf.DUMMYFUNCTION("""COMPUTED_VALUE"""),"Uruguay")</f>
        <v>Uruguay</v>
      </c>
      <c r="E316" s="1"/>
      <c r="F316" s="1" t="str">
        <f>IFERROR(__xludf.DUMMYFUNCTION("""COMPUTED_VALUE"""),"Y")</f>
        <v>Y</v>
      </c>
      <c r="G316" s="1" t="str">
        <f>IFERROR(__xludf.DUMMYFUNCTION("""COMPUTED_VALUE"""),"Y")</f>
        <v>Y</v>
      </c>
      <c r="H316" s="1"/>
      <c r="I316" s="1"/>
      <c r="J316" s="1"/>
      <c r="K316" s="2"/>
      <c r="L316" s="2"/>
      <c r="M316" s="2"/>
      <c r="N316" s="3"/>
      <c r="O316" s="2" t="str">
        <f>IFERROR(__xludf.DUMMYFUNCTION("""COMPUTED_VALUE"""),"Softlandings Uruguay is an accelerator that provides incubation, funding and support.
")</f>
        <v>Softlandings Uruguay is an accelerator that provides incubation, funding and support.
</v>
      </c>
      <c r="P316" s="1" t="str">
        <f>IFERROR(__xludf.DUMMYFUNCTION("""COMPUTED_VALUE"""),"Closed")</f>
        <v>Closed</v>
      </c>
      <c r="Q316" s="1"/>
      <c r="R316" s="1"/>
      <c r="S316" s="1"/>
      <c r="T316" s="1"/>
      <c r="U316" s="1"/>
      <c r="V316" s="1"/>
      <c r="W316" s="1"/>
      <c r="X316" s="1"/>
      <c r="Y316" s="1"/>
      <c r="Z316" s="1"/>
    </row>
    <row r="317">
      <c r="A317" s="1" t="str">
        <f>IFERROR(__xludf.DUMMYFUNCTION("""COMPUTED_VALUE"""),"Soldiers Field Angels")</f>
        <v>Soldiers Field Angels</v>
      </c>
      <c r="B317" s="1" t="str">
        <f>IFERROR(__xludf.DUMMYFUNCTION("""COMPUTED_VALUE"""),"Venture Capital Fund")</f>
        <v>Venture Capital Fund</v>
      </c>
      <c r="C317" s="7" t="str">
        <f>IFERROR(__xludf.DUMMYFUNCTION("""COMPUTED_VALUE"""),"www.soldiersfieldangels.com/")</f>
        <v>www.soldiersfieldangels.com/</v>
      </c>
      <c r="D317" s="1" t="str">
        <f>IFERROR(__xludf.DUMMYFUNCTION("""COMPUTED_VALUE"""),"Mexico")</f>
        <v>Mexico</v>
      </c>
      <c r="E317" s="1"/>
      <c r="F317" s="1"/>
      <c r="G317" s="1" t="str">
        <f>IFERROR(__xludf.DUMMYFUNCTION("""COMPUTED_VALUE"""),"Y")</f>
        <v>Y</v>
      </c>
      <c r="H317" s="1"/>
      <c r="I317" s="1"/>
      <c r="J317" s="1"/>
      <c r="K317" s="2"/>
      <c r="L317" s="2"/>
      <c r="M317" s="2"/>
      <c r="N317" s="3">
        <f>IFERROR(__xludf.DUMMYFUNCTION("""COMPUTED_VALUE"""),5000000.0)</f>
        <v>5000000</v>
      </c>
      <c r="O317" s="2" t="str">
        <f>IFERROR(__xludf.DUMMYFUNCTION("""COMPUTED_VALUE"""),"Soldiers Field Angels (SFA) is a VC fund based in Mexico City. Formed by Harvard HBS alumni, the fund focuses on investing in high-impact companies at early stages. SFA represents a “smart money” investor that leverages its significant network to provide "&amp;"unique mentorship to entrepreneurs of the portfolio companies. Our main objective is to help entrepreneurs grow and realize the full potential of their companies.")</f>
        <v>Soldiers Field Angels (SFA) is a VC fund based in Mexico City. Formed by Harvard HBS alumni, the fund focuses on investing in high-impact companies at early stages. SFA represents a “smart money” investor that leverages its significant network to provide unique mentorship to entrepreneurs of the portfolio companies. Our main objective is to help entrepreneurs grow and realize the full potential of their companies.</v>
      </c>
      <c r="P317" s="1"/>
      <c r="Q317" s="1"/>
      <c r="R317" s="1"/>
      <c r="S317" s="1"/>
      <c r="T317" s="1"/>
      <c r="U317" s="1"/>
      <c r="V317" s="1"/>
      <c r="W317" s="1"/>
      <c r="X317" s="1"/>
      <c r="Y317" s="1"/>
      <c r="Z317" s="1"/>
    </row>
    <row r="318">
      <c r="A318" s="1" t="str">
        <f>IFERROR(__xludf.DUMMYFUNCTION("""COMPUTED_VALUE"""),"Soma Capital")</f>
        <v>Soma Capital</v>
      </c>
      <c r="B318" s="1" t="str">
        <f>IFERROR(__xludf.DUMMYFUNCTION("""COMPUTED_VALUE"""),"Venture Capital Fund")</f>
        <v>Venture Capital Fund</v>
      </c>
      <c r="C318" s="7" t="str">
        <f>IFERROR(__xludf.DUMMYFUNCTION("""COMPUTED_VALUE"""),"https://www.somacap.com/")</f>
        <v>https://www.somacap.com/</v>
      </c>
      <c r="D318" s="1" t="str">
        <f>IFERROR(__xludf.DUMMYFUNCTION("""COMPUTED_VALUE"""),"United States of America")</f>
        <v>United States of America</v>
      </c>
      <c r="E318" s="1"/>
      <c r="F318" s="1"/>
      <c r="G318" s="1"/>
      <c r="H318" s="1"/>
      <c r="I318" s="1"/>
      <c r="J318" s="1"/>
      <c r="K318" s="2"/>
      <c r="L318" s="2"/>
      <c r="M318" s="2"/>
      <c r="N318" s="3"/>
      <c r="O318" s="2" t="str">
        <f>IFERROR(__xludf.DUMMYFUNCTION("""COMPUTED_VALUE"""),"Soma Capital is a fund built by founders for founders that focuses on software.")</f>
        <v>Soma Capital is a fund built by founders for founders that focuses on software.</v>
      </c>
      <c r="P318" s="1"/>
      <c r="Q318" s="1"/>
      <c r="R318" s="1"/>
      <c r="S318" s="1"/>
      <c r="T318" s="1"/>
      <c r="U318" s="1"/>
      <c r="V318" s="1"/>
      <c r="W318" s="1"/>
      <c r="X318" s="1"/>
      <c r="Y318" s="1"/>
      <c r="Z318" s="1"/>
    </row>
    <row r="319">
      <c r="A319" s="1" t="str">
        <f>IFERROR(__xludf.DUMMYFUNCTION("""COMPUTED_VALUE"""),"Soros Fund Management")</f>
        <v>Soros Fund Management</v>
      </c>
      <c r="B319" s="1" t="str">
        <f>IFERROR(__xludf.DUMMYFUNCTION("""COMPUTED_VALUE"""),"Private Equity Fund")</f>
        <v>Private Equity Fund</v>
      </c>
      <c r="C319" s="7" t="str">
        <f>IFERROR(__xludf.DUMMYFUNCTION("""COMPUTED_VALUE"""),"https://www.georgesoros.com/")</f>
        <v>https://www.georgesoros.com/</v>
      </c>
      <c r="D319" s="1" t="str">
        <f>IFERROR(__xludf.DUMMYFUNCTION("""COMPUTED_VALUE"""),"United States of America")</f>
        <v>United States of America</v>
      </c>
      <c r="E319" s="1"/>
      <c r="F319" s="1"/>
      <c r="G319" s="1"/>
      <c r="H319" s="1" t="str">
        <f>IFERROR(__xludf.DUMMYFUNCTION("""COMPUTED_VALUE"""),"Y")</f>
        <v>Y</v>
      </c>
      <c r="I319" s="1" t="str">
        <f>IFERROR(__xludf.DUMMYFUNCTION("""COMPUTED_VALUE"""),"Y")</f>
        <v>Y</v>
      </c>
      <c r="J319" s="1" t="str">
        <f>IFERROR(__xludf.DUMMYFUNCTION("""COMPUTED_VALUE"""),"Y")</f>
        <v>Y</v>
      </c>
      <c r="K319" s="2"/>
      <c r="L319" s="2"/>
      <c r="M319" s="2"/>
      <c r="N319" s="3"/>
      <c r="O319" s="2" t="str">
        <f>IFERROR(__xludf.DUMMYFUNCTION("""COMPUTED_VALUE"""),"Soros Fund Management is a privately owned hedge fund sponsor. The firm invests in the public equity and fixed income markets across the globe")</f>
        <v>Soros Fund Management is a privately owned hedge fund sponsor. The firm invests in the public equity and fixed income markets across the globe</v>
      </c>
      <c r="P319" s="1"/>
      <c r="Q319" s="1"/>
      <c r="R319" s="1"/>
      <c r="S319" s="1"/>
      <c r="T319" s="1"/>
      <c r="U319" s="1"/>
      <c r="V319" s="1"/>
      <c r="W319" s="1"/>
      <c r="X319" s="1"/>
      <c r="Y319" s="1"/>
      <c r="Z319" s="1"/>
    </row>
    <row r="320">
      <c r="A320" s="1" t="str">
        <f>IFERROR(__xludf.DUMMYFUNCTION("""COMPUTED_VALUE"""),"Sponsor Group")</f>
        <v>Sponsor Group</v>
      </c>
      <c r="B320" s="1" t="str">
        <f>IFERROR(__xludf.DUMMYFUNCTION("""COMPUTED_VALUE"""),"Venture Capital Fund")</f>
        <v>Venture Capital Fund</v>
      </c>
      <c r="C320" s="7" t="str">
        <f>IFERROR(__xludf.DUMMYFUNCTION("""COMPUTED_VALUE"""),"http://sponsorgroup.cl/")</f>
        <v>http://sponsorgroup.cl/</v>
      </c>
      <c r="D320" s="1" t="str">
        <f>IFERROR(__xludf.DUMMYFUNCTION("""COMPUTED_VALUE"""),"Chile")</f>
        <v>Chile</v>
      </c>
      <c r="E320" s="1"/>
      <c r="F320" s="1"/>
      <c r="G320" s="1"/>
      <c r="H320" s="1"/>
      <c r="I320" s="1"/>
      <c r="J320" s="1"/>
      <c r="K320" s="2"/>
      <c r="L320" s="2"/>
      <c r="M320" s="2"/>
      <c r="N320" s="3"/>
      <c r="O320" s="2" t="str">
        <f>IFERROR(__xludf.DUMMYFUNCTION("""COMPUTED_VALUE"""),"Sponsor seeks to promote individual recovery by connecting people through a sobriety based social community")</f>
        <v>Sponsor seeks to promote individual recovery by connecting people through a sobriety based social community</v>
      </c>
      <c r="P320" s="1"/>
      <c r="Q320" s="1"/>
      <c r="R320" s="1"/>
      <c r="S320" s="1"/>
      <c r="T320" s="1"/>
      <c r="U320" s="1"/>
      <c r="V320" s="1"/>
      <c r="W320" s="1"/>
      <c r="X320" s="1"/>
      <c r="Y320" s="1"/>
      <c r="Z320" s="1"/>
    </row>
    <row r="321">
      <c r="A321" s="1" t="str">
        <f>IFERROR(__xludf.DUMMYFUNCTION("""COMPUTED_VALUE"""),"Starlight Ventures")</f>
        <v>Starlight Ventures</v>
      </c>
      <c r="B321" s="1" t="str">
        <f>IFERROR(__xludf.DUMMYFUNCTION("""COMPUTED_VALUE"""),"Venture Capital Fund")</f>
        <v>Venture Capital Fund</v>
      </c>
      <c r="C321" s="7" t="str">
        <f>IFERROR(__xludf.DUMMYFUNCTION("""COMPUTED_VALUE"""),"http://www.starlight.vc")</f>
        <v>http://www.starlight.vc</v>
      </c>
      <c r="D321" s="1" t="str">
        <f>IFERROR(__xludf.DUMMYFUNCTION("""COMPUTED_VALUE"""),"United States of America")</f>
        <v>United States of America</v>
      </c>
      <c r="E321" s="1"/>
      <c r="F321" s="1"/>
      <c r="G321" s="1" t="str">
        <f>IFERROR(__xludf.DUMMYFUNCTION("""COMPUTED_VALUE"""),"Y")</f>
        <v>Y</v>
      </c>
      <c r="H321" s="1" t="str">
        <f>IFERROR(__xludf.DUMMYFUNCTION("""COMPUTED_VALUE"""),"Y")</f>
        <v>Y</v>
      </c>
      <c r="I321" s="1"/>
      <c r="J321" s="1"/>
      <c r="K321" s="2"/>
      <c r="L321" s="2"/>
      <c r="M321" s="2"/>
      <c r="N321" s="3"/>
      <c r="O321" s="2" t="str">
        <f>IFERROR(__xludf.DUMMYFUNCTION("""COMPUTED_VALUE"""),"Starlight Ventures provides early-stage capital to companies addressing humanity's biggest challenges and opportunities.")</f>
        <v>Starlight Ventures provides early-stage capital to companies addressing humanity's biggest challenges and opportunities.</v>
      </c>
      <c r="P321" s="1"/>
      <c r="Q321" s="1"/>
      <c r="R321" s="1"/>
      <c r="S321" s="1"/>
      <c r="T321" s="1"/>
      <c r="U321" s="1"/>
      <c r="V321" s="1"/>
      <c r="W321" s="1"/>
      <c r="X321" s="1"/>
      <c r="Y321" s="1"/>
      <c r="Z321" s="1"/>
    </row>
    <row r="322">
      <c r="A322" s="1" t="str">
        <f>IFERROR(__xludf.DUMMYFUNCTION("""COMPUTED_VALUE"""),"Start You UP")</f>
        <v>Start You UP</v>
      </c>
      <c r="B322" s="1" t="str">
        <f>IFERROR(__xludf.DUMMYFUNCTION("""COMPUTED_VALUE"""),"Accelerator")</f>
        <v>Accelerator</v>
      </c>
      <c r="C322" s="7" t="str">
        <f>IFERROR(__xludf.DUMMYFUNCTION("""COMPUTED_VALUE"""),"http://www.startyouup.com.br/")</f>
        <v>http://www.startyouup.com.br/</v>
      </c>
      <c r="D322" s="1" t="str">
        <f>IFERROR(__xludf.DUMMYFUNCTION("""COMPUTED_VALUE"""),"Brazil")</f>
        <v>Brazil</v>
      </c>
      <c r="E322" s="1"/>
      <c r="F322" s="1"/>
      <c r="G322" s="1"/>
      <c r="H322" s="1"/>
      <c r="I322" s="1"/>
      <c r="J322" s="1"/>
      <c r="K322" s="2"/>
      <c r="L322" s="2"/>
      <c r="M322" s="2"/>
      <c r="N322" s="3"/>
      <c r="O322" s="2"/>
      <c r="P322" s="1" t="str">
        <f>IFERROR(__xludf.DUMMYFUNCTION("""COMPUTED_VALUE"""),"Closed")</f>
        <v>Closed</v>
      </c>
      <c r="Q322" s="1"/>
      <c r="R322" s="1"/>
      <c r="S322" s="1"/>
      <c r="T322" s="1"/>
      <c r="U322" s="1"/>
      <c r="V322" s="1"/>
      <c r="W322" s="1"/>
      <c r="X322" s="1"/>
      <c r="Y322" s="1"/>
      <c r="Z322" s="1"/>
    </row>
    <row r="323">
      <c r="A323" s="1" t="str">
        <f>IFERROR(__xludf.DUMMYFUNCTION("""COMPUTED_VALUE"""),"Startegy")</f>
        <v>Startegy</v>
      </c>
      <c r="B323" s="1" t="str">
        <f>IFERROR(__xludf.DUMMYFUNCTION("""COMPUTED_VALUE"""),"Venture Builder")</f>
        <v>Venture Builder</v>
      </c>
      <c r="C323" s="7" t="str">
        <f>IFERROR(__xludf.DUMMYFUNCTION("""COMPUTED_VALUE"""),"http://www.startegyvb.com/")</f>
        <v>http://www.startegyvb.com/</v>
      </c>
      <c r="D323" s="1" t="str">
        <f>IFERROR(__xludf.DUMMYFUNCTION("""COMPUTED_VALUE"""),"Mexico")</f>
        <v>Mexico</v>
      </c>
      <c r="E323" s="1"/>
      <c r="F323" s="1"/>
      <c r="G323" s="1"/>
      <c r="H323" s="1"/>
      <c r="I323" s="1"/>
      <c r="J323" s="1"/>
      <c r="K323" s="2"/>
      <c r="L323" s="2"/>
      <c r="M323" s="2"/>
      <c r="N323" s="3"/>
      <c r="O323" s="2" t="str">
        <f>IFERROR(__xludf.DUMMYFUNCTION("""COMPUTED_VALUE"""),"We are a Seed Fund and Startup Studio focused on creating Fintech companies in Mexico.")</f>
        <v>We are a Seed Fund and Startup Studio focused on creating Fintech companies in Mexico.</v>
      </c>
      <c r="P323" s="1" t="str">
        <f>IFERROR(__xludf.DUMMYFUNCTION("""COMPUTED_VALUE"""),"Closed")</f>
        <v>Closed</v>
      </c>
      <c r="Q323" s="1"/>
      <c r="R323" s="1"/>
      <c r="S323" s="1"/>
      <c r="T323" s="1"/>
      <c r="U323" s="1"/>
      <c r="V323" s="1"/>
      <c r="W323" s="1"/>
      <c r="X323" s="1"/>
      <c r="Y323" s="1"/>
      <c r="Z323" s="1"/>
    </row>
    <row r="324">
      <c r="A324" s="1" t="str">
        <f>IFERROR(__xludf.DUMMYFUNCTION("""COMPUTED_VALUE"""),"Startup Chile")</f>
        <v>Startup Chile</v>
      </c>
      <c r="B324" s="1" t="str">
        <f>IFERROR(__xludf.DUMMYFUNCTION("""COMPUTED_VALUE"""),"Accelerator")</f>
        <v>Accelerator</v>
      </c>
      <c r="C324" s="7" t="str">
        <f>IFERROR(__xludf.DUMMYFUNCTION("""COMPUTED_VALUE"""),"https://www.startupchile.org/")</f>
        <v>https://www.startupchile.org/</v>
      </c>
      <c r="D324" s="1" t="str">
        <f>IFERROR(__xludf.DUMMYFUNCTION("""COMPUTED_VALUE"""),"Chile")</f>
        <v>Chile</v>
      </c>
      <c r="E324" s="1"/>
      <c r="F324" s="1" t="str">
        <f>IFERROR(__xludf.DUMMYFUNCTION("""COMPUTED_VALUE"""),"Y")</f>
        <v>Y</v>
      </c>
      <c r="G324" s="1" t="str">
        <f>IFERROR(__xludf.DUMMYFUNCTION("""COMPUTED_VALUE"""),"Y")</f>
        <v>Y</v>
      </c>
      <c r="H324" s="1"/>
      <c r="I324" s="1"/>
      <c r="J324" s="1"/>
      <c r="K324" s="2"/>
      <c r="L324" s="2"/>
      <c r="M324" s="2"/>
      <c r="N324" s="3"/>
      <c r="O324" s="2" t="str">
        <f>IFERROR(__xludf.DUMMYFUNCTION("""COMPUTED_VALUE"""),"Start-Up Chile is a groundbreaking initiative of the Chilean Government, created by the Ministry of Economy, executed by CORFO via InnovaChile, that seeks to attract foreign, high-potential entrepreneurs to come to Chile to bootstrap their businesses with"&amp;" the end goal of converting Chile into the innovation and entrepreneurial hub of Latin America.  This is a general mission of the recently inaugurated government and is the primary focus of the Ministry of Economy.")</f>
        <v>Start-Up Chile is a groundbreaking initiative of the Chilean Government, created by the Ministry of Economy, executed by CORFO via InnovaChile, that seeks to attract foreign, high-potential entrepreneurs to come to Chile to bootstrap their businesses with the end goal of converting Chile into the innovation and entrepreneurial hub of Latin America.  This is a general mission of the recently inaugurated government and is the primary focus of the Ministry of Economy.</v>
      </c>
      <c r="P324" s="1"/>
      <c r="Q324" s="1"/>
      <c r="R324" s="1"/>
      <c r="S324" s="1"/>
      <c r="T324" s="1"/>
      <c r="U324" s="1"/>
      <c r="V324" s="1"/>
      <c r="W324" s="1"/>
      <c r="X324" s="1"/>
      <c r="Y324" s="1"/>
      <c r="Z324" s="1"/>
    </row>
    <row r="325">
      <c r="A325" s="1" t="str">
        <f>IFERROR(__xludf.DUMMYFUNCTION("""COMPUTED_VALUE"""),"Startup Farm")</f>
        <v>Startup Farm</v>
      </c>
      <c r="B325" s="1" t="str">
        <f>IFERROR(__xludf.DUMMYFUNCTION("""COMPUTED_VALUE"""),"Accelerator")</f>
        <v>Accelerator</v>
      </c>
      <c r="C325" s="7" t="str">
        <f>IFERROR(__xludf.DUMMYFUNCTION("""COMPUTED_VALUE"""),"https://startup.farm/")</f>
        <v>https://startup.farm/</v>
      </c>
      <c r="D325" s="1" t="str">
        <f>IFERROR(__xludf.DUMMYFUNCTION("""COMPUTED_VALUE"""),"Brazil")</f>
        <v>Brazil</v>
      </c>
      <c r="E325" s="1"/>
      <c r="F325" s="1" t="str">
        <f>IFERROR(__xludf.DUMMYFUNCTION("""COMPUTED_VALUE"""),"Y")</f>
        <v>Y</v>
      </c>
      <c r="G325" s="1" t="str">
        <f>IFERROR(__xludf.DUMMYFUNCTION("""COMPUTED_VALUE"""),"Y")</f>
        <v>Y</v>
      </c>
      <c r="H325" s="1"/>
      <c r="I325" s="1"/>
      <c r="J325" s="1"/>
      <c r="K325" s="2"/>
      <c r="L325" s="2"/>
      <c r="M325" s="2"/>
      <c r="N325" s="3"/>
      <c r="O325" s="2" t="str">
        <f>IFERROR(__xludf.DUMMYFUNCTION("""COMPUTED_VALUE"""),"Startup Farm is an accelerator that focuses on Latin American startups.")</f>
        <v>Startup Farm is an accelerator that focuses on Latin American startups.</v>
      </c>
      <c r="P325" s="1"/>
      <c r="Q325" s="1"/>
      <c r="R325" s="1"/>
      <c r="S325" s="1"/>
      <c r="T325" s="1"/>
      <c r="U325" s="1"/>
      <c r="V325" s="1"/>
      <c r="W325" s="1"/>
      <c r="X325" s="1"/>
      <c r="Y325" s="1"/>
      <c r="Z325" s="1"/>
    </row>
    <row r="326">
      <c r="A326" s="1" t="str">
        <f>IFERROR(__xludf.DUMMYFUNCTION("""COMPUTED_VALUE"""),"Startup Mexico")</f>
        <v>Startup Mexico</v>
      </c>
      <c r="B326" s="1" t="str">
        <f>IFERROR(__xludf.DUMMYFUNCTION("""COMPUTED_VALUE"""),"Accelerator")</f>
        <v>Accelerator</v>
      </c>
      <c r="C326" s="7" t="str">
        <f>IFERROR(__xludf.DUMMYFUNCTION("""COMPUTED_VALUE"""),"https://www.startupmexico.com")</f>
        <v>https://www.startupmexico.com</v>
      </c>
      <c r="D326" s="1" t="str">
        <f>IFERROR(__xludf.DUMMYFUNCTION("""COMPUTED_VALUE"""),"Mexico")</f>
        <v>Mexico</v>
      </c>
      <c r="E326" s="1"/>
      <c r="F326" s="1" t="str">
        <f>IFERROR(__xludf.DUMMYFUNCTION("""COMPUTED_VALUE"""),"Y")</f>
        <v>Y</v>
      </c>
      <c r="G326" s="1"/>
      <c r="H326" s="1"/>
      <c r="I326" s="1"/>
      <c r="J326" s="1"/>
      <c r="K326" s="2"/>
      <c r="L326" s="2"/>
      <c r="M326" s="2"/>
      <c r="N326" s="3"/>
      <c r="O326" s="2" t="str">
        <f>IFERROR(__xludf.DUMMYFUNCTION("""COMPUTED_VALUE"""),"StartupMexico is Mexico's first innovation campus for entrepreneurs, a super hub that includes newly formed high-impact companies, seed capital funds,")</f>
        <v>StartupMexico is Mexico's first innovation campus for entrepreneurs, a super hub that includes newly formed high-impact companies, seed capital funds,</v>
      </c>
      <c r="P326" s="1"/>
      <c r="Q326" s="1"/>
      <c r="R326" s="1"/>
      <c r="S326" s="1"/>
      <c r="T326" s="1"/>
      <c r="U326" s="1"/>
      <c r="V326" s="1"/>
      <c r="W326" s="1"/>
      <c r="X326" s="1"/>
      <c r="Y326" s="1"/>
      <c r="Z326" s="1"/>
    </row>
    <row r="327">
      <c r="A327" s="1" t="str">
        <f>IFERROR(__xludf.DUMMYFUNCTION("""COMPUTED_VALUE"""),"Startup Studio")</f>
        <v>Startup Studio</v>
      </c>
      <c r="B327" s="1" t="str">
        <f>IFERROR(__xludf.DUMMYFUNCTION("""COMPUTED_VALUE"""),"Accelerator")</f>
        <v>Accelerator</v>
      </c>
      <c r="C327" s="7" t="str">
        <f>IFERROR(__xludf.DUMMYFUNCTION("""COMPUTED_VALUE"""),"https://startupstudio.mx/")</f>
        <v>https://startupstudio.mx/</v>
      </c>
      <c r="D327" s="1"/>
      <c r="E327" s="1"/>
      <c r="F327" s="1"/>
      <c r="G327" s="1"/>
      <c r="H327" s="1"/>
      <c r="I327" s="1"/>
      <c r="J327" s="1"/>
      <c r="K327" s="2"/>
      <c r="L327" s="2"/>
      <c r="M327" s="2"/>
      <c r="N327" s="3"/>
      <c r="O327" s="2"/>
      <c r="P327" s="1" t="str">
        <f>IFERROR(__xludf.DUMMYFUNCTION("""COMPUTED_VALUE"""),"Closed")</f>
        <v>Closed</v>
      </c>
      <c r="Q327" s="1"/>
      <c r="R327" s="1"/>
      <c r="S327" s="1"/>
      <c r="T327" s="1"/>
      <c r="U327" s="1"/>
      <c r="V327" s="1"/>
      <c r="W327" s="1"/>
      <c r="X327" s="1"/>
      <c r="Y327" s="1"/>
      <c r="Z327" s="1"/>
    </row>
    <row r="328">
      <c r="A328" s="1" t="str">
        <f>IFERROR(__xludf.DUMMYFUNCTION("""COMPUTED_VALUE"""),"Startupbootcamp")</f>
        <v>Startupbootcamp</v>
      </c>
      <c r="B328" s="1" t="str">
        <f>IFERROR(__xludf.DUMMYFUNCTION("""COMPUTED_VALUE"""),"Accelerator")</f>
        <v>Accelerator</v>
      </c>
      <c r="C328" s="7" t="str">
        <f>IFERROR(__xludf.DUMMYFUNCTION("""COMPUTED_VALUE"""),"https://www.startupbootcamp.org/")</f>
        <v>https://www.startupbootcamp.org/</v>
      </c>
      <c r="D328" s="1" t="str">
        <f>IFERROR(__xludf.DUMMYFUNCTION("""COMPUTED_VALUE"""),"United Kingdom")</f>
        <v>United Kingdom</v>
      </c>
      <c r="E328" s="1"/>
      <c r="F328" s="1" t="str">
        <f>IFERROR(__xludf.DUMMYFUNCTION("""COMPUTED_VALUE"""),"Y")</f>
        <v>Y</v>
      </c>
      <c r="G328" s="1" t="str">
        <f>IFERROR(__xludf.DUMMYFUNCTION("""COMPUTED_VALUE"""),"Y")</f>
        <v>Y</v>
      </c>
      <c r="H328" s="1"/>
      <c r="I328" s="1"/>
      <c r="J328" s="1"/>
      <c r="K328" s="2"/>
      <c r="L328" s="2"/>
      <c r="M328" s="2" t="str">
        <f>IFERROR(__xludf.DUMMYFUNCTION("""COMPUTED_VALUE"""),"Finance, Insurance")</f>
        <v>Finance, Insurance</v>
      </c>
      <c r="N328" s="3"/>
      <c r="O328" s="2" t="str">
        <f>IFERROR(__xludf.DUMMYFUNCTION("""COMPUTED_VALUE"""),"Startupbootcamp is a global network of industry-focused startup accelerators that provides investment and mentorship services.")</f>
        <v>Startupbootcamp is a global network of industry-focused startup accelerators that provides investment and mentorship services.</v>
      </c>
      <c r="P328" s="1"/>
      <c r="Q328" s="1"/>
      <c r="R328" s="1"/>
      <c r="S328" s="1"/>
      <c r="T328" s="1"/>
      <c r="U328" s="1"/>
      <c r="V328" s="1"/>
      <c r="W328" s="1"/>
      <c r="X328" s="1"/>
      <c r="Y328" s="1"/>
      <c r="Z328" s="1"/>
    </row>
    <row r="329">
      <c r="A329" s="1" t="str">
        <f>IFERROR(__xludf.DUMMYFUNCTION("""COMPUTED_VALUE"""),"StartupLab MX")</f>
        <v>StartupLab MX</v>
      </c>
      <c r="B329" s="1" t="str">
        <f>IFERROR(__xludf.DUMMYFUNCTION("""COMPUTED_VALUE"""),"Accelerator")</f>
        <v>Accelerator</v>
      </c>
      <c r="C329" s="7" t="str">
        <f>IFERROR(__xludf.DUMMYFUNCTION("""COMPUTED_VALUE"""),"http://startuplab.mx/")</f>
        <v>http://startuplab.mx/</v>
      </c>
      <c r="D329" s="1" t="str">
        <f>IFERROR(__xludf.DUMMYFUNCTION("""COMPUTED_VALUE"""),"Mexico")</f>
        <v>Mexico</v>
      </c>
      <c r="E329" s="1"/>
      <c r="F329" s="1" t="str">
        <f>IFERROR(__xludf.DUMMYFUNCTION("""COMPUTED_VALUE"""),"Y")</f>
        <v>Y</v>
      </c>
      <c r="G329" s="1"/>
      <c r="H329" s="1"/>
      <c r="I329" s="1"/>
      <c r="J329" s="1"/>
      <c r="K329" s="2"/>
      <c r="L329" s="2"/>
      <c r="M329" s="2"/>
      <c r="N329" s="3"/>
      <c r="O329" s="2" t="str">
        <f>IFERROR(__xludf.DUMMYFUNCTION("""COMPUTED_VALUE"""),"Startup Lab MX is a space dedicated to inspire, connect and empower people with innovative ideas, entrepreneurs and startups.")</f>
        <v>Startup Lab MX is a space dedicated to inspire, connect and empower people with innovative ideas, entrepreneurs and startups.</v>
      </c>
      <c r="P329" s="1"/>
      <c r="Q329" s="1"/>
      <c r="R329" s="1"/>
      <c r="S329" s="1"/>
      <c r="T329" s="1"/>
      <c r="U329" s="1"/>
      <c r="V329" s="1"/>
      <c r="W329" s="1"/>
      <c r="X329" s="1"/>
      <c r="Y329" s="1"/>
      <c r="Z329" s="1"/>
    </row>
    <row r="330">
      <c r="A330" s="1" t="str">
        <f>IFERROR(__xludf.DUMMYFUNCTION("""COMPUTED_VALUE"""),"Stella Maris Partners")</f>
        <v>Stella Maris Partners</v>
      </c>
      <c r="B330" s="1" t="str">
        <f>IFERROR(__xludf.DUMMYFUNCTION("""COMPUTED_VALUE"""),"Venture Capital Fund")</f>
        <v>Venture Capital Fund</v>
      </c>
      <c r="C330" s="7" t="str">
        <f>IFERROR(__xludf.DUMMYFUNCTION("""COMPUTED_VALUE"""),"http://www.stellamaris.mx")</f>
        <v>http://www.stellamaris.mx</v>
      </c>
      <c r="D330" s="1" t="str">
        <f>IFERROR(__xludf.DUMMYFUNCTION("""COMPUTED_VALUE"""),"Mexico")</f>
        <v>Mexico</v>
      </c>
      <c r="E330" s="1"/>
      <c r="F330" s="1"/>
      <c r="G330" s="1" t="str">
        <f>IFERROR(__xludf.DUMMYFUNCTION("""COMPUTED_VALUE"""),"Y")</f>
        <v>Y</v>
      </c>
      <c r="H330" s="1"/>
      <c r="I330" s="1"/>
      <c r="J330" s="1"/>
      <c r="K330" s="2"/>
      <c r="L330" s="2" t="str">
        <f>IFERROR(__xludf.DUMMYFUNCTION("""COMPUTED_VALUE"""),"250k - 1M USD")</f>
        <v>250k - 1M USD</v>
      </c>
      <c r="M330" s="2"/>
      <c r="N330" s="3"/>
      <c r="O330" s="2" t="str">
        <f>IFERROR(__xludf.DUMMYFUNCTION("""COMPUTED_VALUE"""),"Stella Maris Partners is a Venture Capital fund focused on investments in companies with a real social impact.")</f>
        <v>Stella Maris Partners is a Venture Capital fund focused on investments in companies with a real social impact.</v>
      </c>
      <c r="P330" s="1"/>
      <c r="Q330" s="1"/>
      <c r="R330" s="1"/>
      <c r="S330" s="1"/>
      <c r="T330" s="1"/>
      <c r="U330" s="1"/>
      <c r="V330" s="1"/>
      <c r="W330" s="1"/>
      <c r="X330" s="1"/>
      <c r="Y330" s="1"/>
      <c r="Z330" s="1"/>
    </row>
    <row r="331">
      <c r="A331" s="1" t="str">
        <f>IFERROR(__xludf.DUMMYFUNCTION("""COMPUTED_VALUE"""),"Strategic Capital")</f>
        <v>Strategic Capital</v>
      </c>
      <c r="B331" s="1" t="str">
        <f>IFERROR(__xludf.DUMMYFUNCTION("""COMPUTED_VALUE"""),"Family Office")</f>
        <v>Family Office</v>
      </c>
      <c r="C331" s="7" t="str">
        <f>IFERROR(__xludf.DUMMYFUNCTION("""COMPUTED_VALUE"""),"www.stcapital.mx")</f>
        <v>www.stcapital.mx</v>
      </c>
      <c r="D331" s="1" t="str">
        <f>IFERROR(__xludf.DUMMYFUNCTION("""COMPUTED_VALUE"""),"Mexico")</f>
        <v>Mexico</v>
      </c>
      <c r="E331" s="1"/>
      <c r="F331" s="1"/>
      <c r="G331" s="1"/>
      <c r="H331" s="1" t="str">
        <f>IFERROR(__xludf.DUMMYFUNCTION("""COMPUTED_VALUE"""),"Y")</f>
        <v>Y</v>
      </c>
      <c r="I331" s="1"/>
      <c r="J331" s="1"/>
      <c r="K331" s="2"/>
      <c r="L331" s="2"/>
      <c r="M331" s="2"/>
      <c r="N331" s="3"/>
      <c r="O331" s="2"/>
      <c r="P331" s="1"/>
      <c r="Q331" s="1"/>
      <c r="R331" s="1"/>
      <c r="S331" s="1"/>
      <c r="T331" s="1"/>
      <c r="U331" s="1"/>
      <c r="V331" s="1"/>
      <c r="W331" s="1"/>
      <c r="X331" s="1"/>
      <c r="Y331" s="1"/>
      <c r="Z331" s="1"/>
    </row>
    <row r="332" hidden="1">
      <c r="A332" s="1" t="str">
        <f>IFERROR(__xludf.DUMMYFUNCTION("""COMPUTED_VALUE"""),"SUDAMERIK")</f>
        <v>SUDAMERIK</v>
      </c>
      <c r="B332" s="1" t="str">
        <f>IFERROR(__xludf.DUMMYFUNCTION("""COMPUTED_VALUE"""),"Venture Capital Fund")</f>
        <v>Venture Capital Fund</v>
      </c>
      <c r="C332" s="1"/>
      <c r="D332" s="1" t="str">
        <f>IFERROR(__xludf.DUMMYFUNCTION("""COMPUTED_VALUE"""),"Chile")</f>
        <v>Chile</v>
      </c>
      <c r="E332" s="1"/>
      <c r="F332" s="1" t="str">
        <f>IFERROR(__xludf.DUMMYFUNCTION("""COMPUTED_VALUE"""),"Y")</f>
        <v>Y</v>
      </c>
      <c r="G332" s="1" t="str">
        <f>IFERROR(__xludf.DUMMYFUNCTION("""COMPUTED_VALUE"""),"Y")</f>
        <v>Y</v>
      </c>
      <c r="H332" s="1"/>
      <c r="I332" s="1"/>
      <c r="J332" s="1"/>
      <c r="K332" s="8" t="str">
        <f>IFERROR(__xludf.DUMMYFUNCTION("""COMPUTED_VALUE"""),"https://www.linkedin.com/company/sudamerik/")</f>
        <v>https://www.linkedin.com/company/sudamerik/</v>
      </c>
      <c r="L332" s="2"/>
      <c r="M332" s="2"/>
      <c r="N332" s="3"/>
      <c r="O332" s="2"/>
      <c r="P332" s="1"/>
      <c r="Q332" s="1"/>
      <c r="R332" s="1"/>
      <c r="S332" s="1"/>
      <c r="T332" s="1"/>
      <c r="U332" s="1"/>
      <c r="V332" s="1"/>
      <c r="W332" s="1"/>
      <c r="X332" s="1"/>
      <c r="Y332" s="1"/>
      <c r="Z332" s="1"/>
    </row>
    <row r="333">
      <c r="A333" s="1" t="str">
        <f>IFERROR(__xludf.DUMMYFUNCTION("""COMPUTED_VALUE"""),"Superjobs Ventures")</f>
        <v>Superjobs Ventures</v>
      </c>
      <c r="B333" s="1" t="str">
        <f>IFERROR(__xludf.DUMMYFUNCTION("""COMPUTED_VALUE"""),"Venture Capital Fund")</f>
        <v>Venture Capital Fund</v>
      </c>
      <c r="C333" s="7" t="str">
        <f>IFERROR(__xludf.DUMMYFUNCTION("""COMPUTED_VALUE"""),"https://superjobs.vc/")</f>
        <v>https://superjobs.vc/</v>
      </c>
      <c r="D333" s="1" t="str">
        <f>IFERROR(__xludf.DUMMYFUNCTION("""COMPUTED_VALUE"""),"Brazil")</f>
        <v>Brazil</v>
      </c>
      <c r="E333" s="1"/>
      <c r="F333" s="1" t="str">
        <f>IFERROR(__xludf.DUMMYFUNCTION("""COMPUTED_VALUE"""),"Y")</f>
        <v>Y</v>
      </c>
      <c r="G333" s="1" t="str">
        <f>IFERROR(__xludf.DUMMYFUNCTION("""COMPUTED_VALUE"""),"Y")</f>
        <v>Y</v>
      </c>
      <c r="H333" s="1"/>
      <c r="I333" s="1"/>
      <c r="J333" s="1"/>
      <c r="K333" s="2"/>
      <c r="L333" s="2"/>
      <c r="M333" s="2"/>
      <c r="N333" s="3"/>
      <c r="O333" s="2" t="str">
        <f>IFERROR(__xludf.DUMMYFUNCTION("""COMPUTED_VALUE"""),"We are a venture, focused on high impact investments, our goal is to invest in capable people and innovative startups.")</f>
        <v>We are a venture, focused on high impact investments, our goal is to invest in capable people and innovative startups.</v>
      </c>
      <c r="P333" s="1"/>
      <c r="Q333" s="1">
        <f>IFERROR(__xludf.DUMMYFUNCTION("""COMPUTED_VALUE"""),43770.0)</f>
        <v>43770</v>
      </c>
      <c r="R333" s="1"/>
      <c r="S333" s="1"/>
      <c r="T333" s="1"/>
      <c r="U333" s="1"/>
      <c r="V333" s="1"/>
      <c r="W333" s="1"/>
      <c r="X333" s="1"/>
      <c r="Y333" s="1"/>
      <c r="Z333" s="1"/>
    </row>
    <row r="334">
      <c r="A334" s="1" t="str">
        <f>IFERROR(__xludf.DUMMYFUNCTION("""COMPUTED_VALUE"""),"Supernode Ventures")</f>
        <v>Supernode Ventures</v>
      </c>
      <c r="B334" s="1" t="str">
        <f>IFERROR(__xludf.DUMMYFUNCTION("""COMPUTED_VALUE"""),"Venture Capital Fund")</f>
        <v>Venture Capital Fund</v>
      </c>
      <c r="C334" s="7" t="str">
        <f>IFERROR(__xludf.DUMMYFUNCTION("""COMPUTED_VALUE"""),"https://supernode.vc/")</f>
        <v>https://supernode.vc/</v>
      </c>
      <c r="D334" s="1" t="str">
        <f>IFERROR(__xludf.DUMMYFUNCTION("""COMPUTED_VALUE"""),"United States of America")</f>
        <v>United States of America</v>
      </c>
      <c r="E334" s="1"/>
      <c r="F334" s="1"/>
      <c r="G334" s="1"/>
      <c r="H334" s="1"/>
      <c r="I334" s="1"/>
      <c r="J334" s="1"/>
      <c r="K334" s="2"/>
      <c r="L334" s="2"/>
      <c r="M334" s="2"/>
      <c r="N334" s="3"/>
      <c r="O334" s="2" t="str">
        <f>IFERROR(__xludf.DUMMYFUNCTION("""COMPUTED_VALUE"""),"Supernode Ventures is a venture capital firm investing in early stage technology companies.")</f>
        <v>Supernode Ventures is a venture capital firm investing in early stage technology companies.</v>
      </c>
      <c r="P334" s="1"/>
      <c r="Q334" s="1">
        <f>IFERROR(__xludf.DUMMYFUNCTION("""COMPUTED_VALUE"""),43770.0)</f>
        <v>43770</v>
      </c>
      <c r="R334" s="1"/>
      <c r="S334" s="1"/>
      <c r="T334" s="1"/>
      <c r="U334" s="1"/>
      <c r="V334" s="1"/>
      <c r="W334" s="1"/>
      <c r="X334" s="1"/>
      <c r="Y334" s="1"/>
      <c r="Z334" s="1"/>
    </row>
    <row r="335">
      <c r="A335" s="1" t="str">
        <f>IFERROR(__xludf.DUMMYFUNCTION("""COMPUTED_VALUE"""),"SV Latam")</f>
        <v>SV Latam</v>
      </c>
      <c r="B335" s="1" t="str">
        <f>IFERROR(__xludf.DUMMYFUNCTION("""COMPUTED_VALUE"""),"Venture Capital Fund")</f>
        <v>Venture Capital Fund</v>
      </c>
      <c r="C335" s="7" t="str">
        <f>IFERROR(__xludf.DUMMYFUNCTION("""COMPUTED_VALUE"""),"https://www.svlatamcap.com")</f>
        <v>https://www.svlatamcap.com</v>
      </c>
      <c r="D335" s="1" t="str">
        <f>IFERROR(__xludf.DUMMYFUNCTION("""COMPUTED_VALUE"""),"United States of America")</f>
        <v>United States of America</v>
      </c>
      <c r="E335" s="1"/>
      <c r="F335" s="1"/>
      <c r="G335" s="1" t="str">
        <f>IFERROR(__xludf.DUMMYFUNCTION("""COMPUTED_VALUE"""),"Y")</f>
        <v>Y</v>
      </c>
      <c r="H335" s="1"/>
      <c r="I335" s="1"/>
      <c r="J335" s="1"/>
      <c r="K335" s="2"/>
      <c r="L335" s="2"/>
      <c r="M335" s="2"/>
      <c r="N335" s="3"/>
      <c r="O335" s="2" t="str">
        <f>IFERROR(__xludf.DUMMYFUNCTION("""COMPUTED_VALUE"""),"SV Latam Fund primarily engages in seed and early-stage investments.")</f>
        <v>SV Latam Fund primarily engages in seed and early-stage investments.</v>
      </c>
      <c r="P335" s="1"/>
      <c r="Q335" s="1"/>
      <c r="R335" s="1"/>
      <c r="S335" s="1"/>
      <c r="T335" s="1"/>
      <c r="U335" s="1"/>
      <c r="V335" s="1"/>
      <c r="W335" s="1"/>
      <c r="X335" s="1"/>
      <c r="Y335" s="1"/>
      <c r="Z335" s="1"/>
    </row>
    <row r="336">
      <c r="A336" s="1" t="str">
        <f>IFERROR(__xludf.DUMMYFUNCTION("""COMPUTED_VALUE"""),"SVX")</f>
        <v>SVX</v>
      </c>
      <c r="B336" s="1" t="str">
        <f>IFERROR(__xludf.DUMMYFUNCTION("""COMPUTED_VALUE"""),"Impact Investment Consulting Firm")</f>
        <v>Impact Investment Consulting Firm</v>
      </c>
      <c r="C336" s="7" t="str">
        <f>IFERROR(__xludf.DUMMYFUNCTION("""COMPUTED_VALUE"""),"www.svx.mx")</f>
        <v>www.svx.mx</v>
      </c>
      <c r="D336" s="1" t="str">
        <f>IFERROR(__xludf.DUMMYFUNCTION("""COMPUTED_VALUE"""),"Mexico")</f>
        <v>Mexico</v>
      </c>
      <c r="E336" s="1"/>
      <c r="F336" s="1"/>
      <c r="G336" s="1" t="str">
        <f>IFERROR(__xludf.DUMMYFUNCTION("""COMPUTED_VALUE"""),"Y")</f>
        <v>Y</v>
      </c>
      <c r="H336" s="1"/>
      <c r="I336" s="1"/>
      <c r="J336" s="1"/>
      <c r="K336" s="2"/>
      <c r="L336" s="2"/>
      <c r="M336" s="2"/>
      <c r="N336" s="3"/>
      <c r="O336" s="2" t="str">
        <f>IFERROR(__xludf.DUMMYFUNCTION("""COMPUTED_VALUE"""),"We cultivate investments of social and environmental impact through: intelligence, education, consulting and structuring.")</f>
        <v>We cultivate investments of social and environmental impact through: intelligence, education, consulting and structuring.</v>
      </c>
      <c r="P336" s="1"/>
      <c r="Q336" s="1"/>
      <c r="R336" s="1"/>
      <c r="S336" s="1"/>
      <c r="T336" s="1"/>
      <c r="U336" s="1"/>
      <c r="V336" s="1"/>
      <c r="W336" s="1"/>
      <c r="X336" s="1"/>
      <c r="Y336" s="1"/>
      <c r="Z336" s="1"/>
    </row>
    <row r="337">
      <c r="A337" s="1" t="str">
        <f>IFERROR(__xludf.DUMMYFUNCTION("""COMPUTED_VALUE"""),"Sýndreams Aceleradora")</f>
        <v>Sýndreams Aceleradora</v>
      </c>
      <c r="B337" s="1" t="str">
        <f>IFERROR(__xludf.DUMMYFUNCTION("""COMPUTED_VALUE"""),"Accelerator")</f>
        <v>Accelerator</v>
      </c>
      <c r="C337" s="7" t="str">
        <f>IFERROR(__xludf.DUMMYFUNCTION("""COMPUTED_VALUE"""),"http://syndreams.com.br/")</f>
        <v>http://syndreams.com.br/</v>
      </c>
      <c r="D337" s="1" t="str">
        <f>IFERROR(__xludf.DUMMYFUNCTION("""COMPUTED_VALUE"""),"Brazil")</f>
        <v>Brazil</v>
      </c>
      <c r="E337" s="1"/>
      <c r="F337" s="1"/>
      <c r="G337" s="1"/>
      <c r="H337" s="1"/>
      <c r="I337" s="1"/>
      <c r="J337" s="1"/>
      <c r="K337" s="2"/>
      <c r="L337" s="2"/>
      <c r="M337" s="2"/>
      <c r="N337" s="3"/>
      <c r="O337" s="2" t="str">
        <f>IFERROR(__xludf.DUMMYFUNCTION("""COMPUTED_VALUE"""),"Sýndreams is an accelerator for startups and companies that operates throughout Brazil.")</f>
        <v>Sýndreams is an accelerator for startups and companies that operates throughout Brazil.</v>
      </c>
      <c r="P337" s="1"/>
      <c r="Q337" s="1"/>
      <c r="R337" s="1"/>
      <c r="S337" s="1"/>
      <c r="T337" s="1"/>
      <c r="U337" s="1"/>
      <c r="V337" s="1"/>
      <c r="W337" s="1"/>
      <c r="X337" s="1"/>
      <c r="Y337" s="1"/>
      <c r="Z337" s="1"/>
    </row>
    <row r="338">
      <c r="A338" s="1" t="str">
        <f>IFERROR(__xludf.DUMMYFUNCTION("""COMPUTED_VALUE"""),"TechMall")</f>
        <v>TechMall</v>
      </c>
      <c r="B338" s="1" t="str">
        <f>IFERROR(__xludf.DUMMYFUNCTION("""COMPUTED_VALUE"""),"Accelerator")</f>
        <v>Accelerator</v>
      </c>
      <c r="C338" s="7" t="str">
        <f>IFERROR(__xludf.DUMMYFUNCTION("""COMPUTED_VALUE"""),"http://techmallsa.com.br/")</f>
        <v>http://techmallsa.com.br/</v>
      </c>
      <c r="D338" s="1" t="str">
        <f>IFERROR(__xludf.DUMMYFUNCTION("""COMPUTED_VALUE"""),"Brazil")</f>
        <v>Brazil</v>
      </c>
      <c r="E338" s="1"/>
      <c r="F338" s="1"/>
      <c r="G338" s="1" t="str">
        <f>IFERROR(__xludf.DUMMYFUNCTION("""COMPUTED_VALUE"""),"Y")</f>
        <v>Y</v>
      </c>
      <c r="H338" s="1"/>
      <c r="I338" s="1"/>
      <c r="J338" s="1"/>
      <c r="K338" s="2"/>
      <c r="L338" s="2"/>
      <c r="M338" s="2"/>
      <c r="N338" s="3"/>
      <c r="O338" s="2" t="str">
        <f>IFERROR(__xludf.DUMMYFUNCTION("""COMPUTED_VALUE"""),"Accelerator companies and high impact Belo Horizonte business.")</f>
        <v>Accelerator companies and high impact Belo Horizonte business.</v>
      </c>
      <c r="P338" s="1" t="str">
        <f>IFERROR(__xludf.DUMMYFUNCTION("""COMPUTED_VALUE"""),"Closed")</f>
        <v>Closed</v>
      </c>
      <c r="Q338" s="1"/>
      <c r="R338" s="1"/>
      <c r="S338" s="1"/>
      <c r="T338" s="1"/>
      <c r="U338" s="1"/>
      <c r="V338" s="1"/>
      <c r="W338" s="1"/>
      <c r="X338" s="1"/>
      <c r="Y338" s="1"/>
      <c r="Z338" s="1"/>
    </row>
    <row r="339">
      <c r="A339" s="1" t="str">
        <f>IFERROR(__xludf.DUMMYFUNCTION("""COMPUTED_VALUE"""),"Temasek")</f>
        <v>Temasek</v>
      </c>
      <c r="B339" s="1" t="str">
        <f>IFERROR(__xludf.DUMMYFUNCTION("""COMPUTED_VALUE"""),"Private Equity Firm")</f>
        <v>Private Equity Firm</v>
      </c>
      <c r="C339" s="7" t="str">
        <f>IFERROR(__xludf.DUMMYFUNCTION("""COMPUTED_VALUE"""),"https://www.temasek.com.sg")</f>
        <v>https://www.temasek.com.sg</v>
      </c>
      <c r="D339" s="1" t="str">
        <f>IFERROR(__xludf.DUMMYFUNCTION("""COMPUTED_VALUE"""),"Singapore")</f>
        <v>Singapore</v>
      </c>
      <c r="E339" s="1"/>
      <c r="F339" s="1"/>
      <c r="G339" s="1" t="str">
        <f>IFERROR(__xludf.DUMMYFUNCTION("""COMPUTED_VALUE"""),"Y")</f>
        <v>Y</v>
      </c>
      <c r="H339" s="1" t="str">
        <f>IFERROR(__xludf.DUMMYFUNCTION("""COMPUTED_VALUE"""),"Y")</f>
        <v>Y</v>
      </c>
      <c r="I339" s="1" t="str">
        <f>IFERROR(__xludf.DUMMYFUNCTION("""COMPUTED_VALUE"""),"Y")</f>
        <v>Y</v>
      </c>
      <c r="J339" s="1" t="str">
        <f>IFERROR(__xludf.DUMMYFUNCTION("""COMPUTED_VALUE"""),"Y")</f>
        <v>Y</v>
      </c>
      <c r="K339" s="2"/>
      <c r="L339" s="2"/>
      <c r="M339" s="2"/>
      <c r="N339" s="3"/>
      <c r="O339" s="2" t="str">
        <f>IFERROR(__xludf.DUMMYFUNCTION("""COMPUTED_VALUE"""),"Temasek is an investment company based in Singapore, with a focus on delivering sustainable returns over the long term.")</f>
        <v>Temasek is an investment company based in Singapore, with a focus on delivering sustainable returns over the long term.</v>
      </c>
      <c r="P339" s="1"/>
      <c r="Q339" s="1"/>
      <c r="R339" s="1"/>
      <c r="S339" s="1"/>
      <c r="T339" s="1"/>
      <c r="U339" s="1"/>
      <c r="V339" s="1"/>
      <c r="W339" s="1"/>
      <c r="X339" s="1"/>
      <c r="Y339" s="1"/>
      <c r="Z339" s="1"/>
    </row>
    <row r="340">
      <c r="A340" s="1" t="str">
        <f>IFERROR(__xludf.DUMMYFUNCTION("""COMPUTED_VALUE"""),"Tempest Capital")</f>
        <v>Tempest Capital</v>
      </c>
      <c r="B340" s="1" t="str">
        <f>IFERROR(__xludf.DUMMYFUNCTION("""COMPUTED_VALUE"""),"Private Equity Firm")</f>
        <v>Private Equity Firm</v>
      </c>
      <c r="C340" s="7" t="str">
        <f>IFERROR(__xludf.DUMMYFUNCTION("""COMPUTED_VALUE"""),"http://www.tempestcapital.com/")</f>
        <v>http://www.tempestcapital.com/</v>
      </c>
      <c r="D340" s="1" t="str">
        <f>IFERROR(__xludf.DUMMYFUNCTION("""COMPUTED_VALUE"""),"Mexico")</f>
        <v>Mexico</v>
      </c>
      <c r="E340" s="1"/>
      <c r="F340" s="1"/>
      <c r="G340" s="1"/>
      <c r="H340" s="1"/>
      <c r="I340" s="1"/>
      <c r="J340" s="1"/>
      <c r="K340" s="2"/>
      <c r="L340" s="2"/>
      <c r="M340" s="2"/>
      <c r="N340" s="3"/>
      <c r="O340" s="2" t="str">
        <f>IFERROR(__xludf.DUMMYFUNCTION("""COMPUTED_VALUE"""),"Tempest Capital is a private equity manager focused on small cap Mexican, and Latin American firms with a value philosophy.")</f>
        <v>Tempest Capital is a private equity manager focused on small cap Mexican, and Latin American firms with a value philosophy.</v>
      </c>
      <c r="P340" s="1"/>
      <c r="Q340" s="1"/>
      <c r="R340" s="1"/>
      <c r="S340" s="1"/>
      <c r="T340" s="1"/>
      <c r="U340" s="1"/>
      <c r="V340" s="1"/>
      <c r="W340" s="1"/>
      <c r="X340" s="1"/>
      <c r="Y340" s="1"/>
      <c r="Z340" s="1"/>
    </row>
    <row r="341">
      <c r="A341" s="1" t="str">
        <f>IFERROR(__xludf.DUMMYFUNCTION("""COMPUTED_VALUE"""),"TheVentureCity")</f>
        <v>TheVentureCity</v>
      </c>
      <c r="B341" s="1" t="str">
        <f>IFERROR(__xludf.DUMMYFUNCTION("""COMPUTED_VALUE"""),"Venture Capital Fund, Accelerator")</f>
        <v>Venture Capital Fund, Accelerator</v>
      </c>
      <c r="C341" s="7" t="str">
        <f>IFERROR(__xludf.DUMMYFUNCTION("""COMPUTED_VALUE"""),"https://theventure.city/")</f>
        <v>https://theventure.city/</v>
      </c>
      <c r="D341" s="1" t="str">
        <f>IFERROR(__xludf.DUMMYFUNCTION("""COMPUTED_VALUE"""),"United States of America")</f>
        <v>United States of America</v>
      </c>
      <c r="E341" s="1"/>
      <c r="F341" s="1"/>
      <c r="G341" s="1" t="str">
        <f>IFERROR(__xludf.DUMMYFUNCTION("""COMPUTED_VALUE"""),"Y")</f>
        <v>Y</v>
      </c>
      <c r="H341" s="1" t="str">
        <f>IFERROR(__xludf.DUMMYFUNCTION("""COMPUTED_VALUE"""),"Y")</f>
        <v>Y</v>
      </c>
      <c r="I341" s="1" t="str">
        <f>IFERROR(__xludf.DUMMYFUNCTION("""COMPUTED_VALUE"""),"Y")</f>
        <v>Y</v>
      </c>
      <c r="J341" s="1" t="str">
        <f>IFERROR(__xludf.DUMMYFUNCTION("""COMPUTED_VALUE"""),"Y")</f>
        <v>Y</v>
      </c>
      <c r="K341" s="2"/>
      <c r="L341" s="2"/>
      <c r="M341" s="2"/>
      <c r="N341" s="3"/>
      <c r="O341" s="2" t="str">
        <f>IFERROR(__xludf.DUMMYFUNCTION("""COMPUTED_VALUE"""),"Funding mission-driven entrepreneurs worldwide")</f>
        <v>Funding mission-driven entrepreneurs worldwide</v>
      </c>
      <c r="P341" s="1"/>
      <c r="Q341" s="1"/>
      <c r="R341" s="1"/>
      <c r="S341" s="1"/>
      <c r="T341" s="1"/>
      <c r="U341" s="1"/>
      <c r="V341" s="1"/>
      <c r="W341" s="1"/>
      <c r="X341" s="1"/>
      <c r="Y341" s="1"/>
      <c r="Z341" s="1"/>
    </row>
    <row r="342">
      <c r="A342" s="1" t="str">
        <f>IFERROR(__xludf.DUMMYFUNCTION("""COMPUTED_VALUE"""),"Third Lake Capital")</f>
        <v>Third Lake Capital</v>
      </c>
      <c r="B342" s="1" t="str">
        <f>IFERROR(__xludf.DUMMYFUNCTION("""COMPUTED_VALUE"""),"Private Equity Firm")</f>
        <v>Private Equity Firm</v>
      </c>
      <c r="C342" s="7" t="str">
        <f>IFERROR(__xludf.DUMMYFUNCTION("""COMPUTED_VALUE"""),"http://www.thirdlake.com/")</f>
        <v>http://www.thirdlake.com/</v>
      </c>
      <c r="D342" s="1" t="str">
        <f>IFERROR(__xludf.DUMMYFUNCTION("""COMPUTED_VALUE"""),"United States of America")</f>
        <v>United States of America</v>
      </c>
      <c r="E342" s="1"/>
      <c r="F342" s="1"/>
      <c r="G342" s="1"/>
      <c r="H342" s="1"/>
      <c r="I342" s="1" t="str">
        <f>IFERROR(__xludf.DUMMYFUNCTION("""COMPUTED_VALUE"""),"Y")</f>
        <v>Y</v>
      </c>
      <c r="J342" s="1"/>
      <c r="K342" s="2"/>
      <c r="L342" s="2"/>
      <c r="M342" s="2"/>
      <c r="N342" s="3"/>
      <c r="O342" s="2" t="str">
        <f>IFERROR(__xludf.DUMMYFUNCTION("""COMPUTED_VALUE"""),"Third Lake Capital operates as a real estate investment firm.
")</f>
        <v>Third Lake Capital operates as a real estate investment firm.
</v>
      </c>
      <c r="P342" s="1"/>
      <c r="Q342" s="1"/>
      <c r="R342" s="1"/>
      <c r="S342" s="1"/>
      <c r="T342" s="1"/>
      <c r="U342" s="1"/>
      <c r="V342" s="1"/>
      <c r="W342" s="1"/>
      <c r="X342" s="1"/>
      <c r="Y342" s="1"/>
      <c r="Z342" s="1"/>
    </row>
    <row r="343">
      <c r="A343" s="1" t="str">
        <f>IFERROR(__xludf.DUMMYFUNCTION("""COMPUTED_VALUE"""),"Thomvest Ventures")</f>
        <v>Thomvest Ventures</v>
      </c>
      <c r="B343" s="1" t="str">
        <f>IFERROR(__xludf.DUMMYFUNCTION("""COMPUTED_VALUE"""),"Venture Capital Fund")</f>
        <v>Venture Capital Fund</v>
      </c>
      <c r="C343" s="7" t="str">
        <f>IFERROR(__xludf.DUMMYFUNCTION("""COMPUTED_VALUE"""),"https://thomvest.com/")</f>
        <v>https://thomvest.com/</v>
      </c>
      <c r="D343" s="1" t="str">
        <f>IFERROR(__xludf.DUMMYFUNCTION("""COMPUTED_VALUE"""),"United States of America")</f>
        <v>United States of America</v>
      </c>
      <c r="E343" s="1"/>
      <c r="F343" s="1"/>
      <c r="G343" s="1"/>
      <c r="H343" s="1" t="str">
        <f>IFERROR(__xludf.DUMMYFUNCTION("""COMPUTED_VALUE"""),"Y")</f>
        <v>Y</v>
      </c>
      <c r="I343" s="1" t="str">
        <f>IFERROR(__xludf.DUMMYFUNCTION("""COMPUTED_VALUE"""),"Y")</f>
        <v>Y</v>
      </c>
      <c r="J343" s="1" t="str">
        <f>IFERROR(__xludf.DUMMYFUNCTION("""COMPUTED_VALUE"""),"Y")</f>
        <v>Y</v>
      </c>
      <c r="K343" s="2"/>
      <c r="L343" s="2"/>
      <c r="M343" s="2"/>
      <c r="N343" s="3"/>
      <c r="O343" s="2" t="str">
        <f>IFERROR(__xludf.DUMMYFUNCTION("""COMPUTED_VALUE"""),"Thomvest Ventures provides companies with cross-stage venture capital fund.")</f>
        <v>Thomvest Ventures provides companies with cross-stage venture capital fund.</v>
      </c>
      <c r="P343" s="1"/>
      <c r="Q343" s="1"/>
      <c r="R343" s="1"/>
      <c r="S343" s="1"/>
      <c r="T343" s="1"/>
      <c r="U343" s="1"/>
      <c r="V343" s="1"/>
      <c r="W343" s="1"/>
      <c r="X343" s="1"/>
      <c r="Y343" s="1"/>
      <c r="Z343" s="1"/>
    </row>
    <row r="344">
      <c r="A344" s="1" t="str">
        <f>IFERROR(__xludf.DUMMYFUNCTION("""COMPUTED_VALUE"""),"Thrive Capital")</f>
        <v>Thrive Capital</v>
      </c>
      <c r="B344" s="1" t="str">
        <f>IFERROR(__xludf.DUMMYFUNCTION("""COMPUTED_VALUE"""),"Venture Capital Fund")</f>
        <v>Venture Capital Fund</v>
      </c>
      <c r="C344" s="7" t="str">
        <f>IFERROR(__xludf.DUMMYFUNCTION("""COMPUTED_VALUE"""),"https://thrivecap.com/")</f>
        <v>https://thrivecap.com/</v>
      </c>
      <c r="D344" s="1" t="str">
        <f>IFERROR(__xludf.DUMMYFUNCTION("""COMPUTED_VALUE"""),"United States of America")</f>
        <v>United States of America</v>
      </c>
      <c r="E344" s="1"/>
      <c r="F344" s="1"/>
      <c r="G344" s="1" t="str">
        <f>IFERROR(__xludf.DUMMYFUNCTION("""COMPUTED_VALUE"""),"Y")</f>
        <v>Y</v>
      </c>
      <c r="H344" s="1" t="str">
        <f>IFERROR(__xludf.DUMMYFUNCTION("""COMPUTED_VALUE"""),"Y")</f>
        <v>Y</v>
      </c>
      <c r="I344" s="1" t="str">
        <f>IFERROR(__xludf.DUMMYFUNCTION("""COMPUTED_VALUE"""),"Y")</f>
        <v>Y</v>
      </c>
      <c r="J344" s="1" t="str">
        <f>IFERROR(__xludf.DUMMYFUNCTION("""COMPUTED_VALUE"""),"Y")</f>
        <v>Y</v>
      </c>
      <c r="K344" s="2"/>
      <c r="L344" s="2"/>
      <c r="M344" s="2"/>
      <c r="N344" s="3"/>
      <c r="O344" s="2" t="str">
        <f>IFERROR(__xludf.DUMMYFUNCTION("""COMPUTED_VALUE"""),"Thrive Capital is a venture capital investment firm focused on internet and software investments")</f>
        <v>Thrive Capital is a venture capital investment firm focused on internet and software investments</v>
      </c>
      <c r="P344" s="1"/>
      <c r="Q344" s="1"/>
      <c r="R344" s="1"/>
      <c r="S344" s="1"/>
      <c r="T344" s="1"/>
      <c r="U344" s="1"/>
      <c r="V344" s="1"/>
      <c r="W344" s="1"/>
      <c r="X344" s="1"/>
      <c r="Y344" s="1"/>
      <c r="Z344" s="1"/>
    </row>
    <row r="345">
      <c r="A345" s="1" t="str">
        <f>IFERROR(__xludf.DUMMYFUNCTION("""COMPUTED_VALUE"""),"Tiger Global Management")</f>
        <v>Tiger Global Management</v>
      </c>
      <c r="B345" s="1" t="str">
        <f>IFERROR(__xludf.DUMMYFUNCTION("""COMPUTED_VALUE"""),"Venture Capital Fund")</f>
        <v>Venture Capital Fund</v>
      </c>
      <c r="C345" s="7" t="str">
        <f>IFERROR(__xludf.DUMMYFUNCTION("""COMPUTED_VALUE"""),"http://tigerglobal.com/")</f>
        <v>http://tigerglobal.com/</v>
      </c>
      <c r="D345" s="1" t="str">
        <f>IFERROR(__xludf.DUMMYFUNCTION("""COMPUTED_VALUE"""),"United States of America")</f>
        <v>United States of America</v>
      </c>
      <c r="E345" s="1"/>
      <c r="F345" s="1"/>
      <c r="G345" s="1" t="str">
        <f>IFERROR(__xludf.DUMMYFUNCTION("""COMPUTED_VALUE"""),"Y")</f>
        <v>Y</v>
      </c>
      <c r="H345" s="1" t="str">
        <f>IFERROR(__xludf.DUMMYFUNCTION("""COMPUTED_VALUE"""),"Y")</f>
        <v>Y</v>
      </c>
      <c r="I345" s="1" t="str">
        <f>IFERROR(__xludf.DUMMYFUNCTION("""COMPUTED_VALUE"""),"Y")</f>
        <v>Y</v>
      </c>
      <c r="J345" s="1" t="str">
        <f>IFERROR(__xludf.DUMMYFUNCTION("""COMPUTED_VALUE"""),"Y")</f>
        <v>Y</v>
      </c>
      <c r="K345" s="2"/>
      <c r="L345" s="2"/>
      <c r="M345" s="2"/>
      <c r="N345" s="3"/>
      <c r="O345" s="2" t="str">
        <f>IFERROR(__xludf.DUMMYFUNCTION("""COMPUTED_VALUE"""),"Tiger Global Management is an investment firm that deploys capital globally in both public and private markets.")</f>
        <v>Tiger Global Management is an investment firm that deploys capital globally in both public and private markets.</v>
      </c>
      <c r="P345" s="1"/>
      <c r="Q345" s="1"/>
      <c r="R345" s="1"/>
      <c r="S345" s="1"/>
      <c r="T345" s="1"/>
      <c r="U345" s="1"/>
      <c r="V345" s="1"/>
      <c r="W345" s="1"/>
      <c r="X345" s="1"/>
      <c r="Y345" s="1"/>
      <c r="Z345" s="1"/>
    </row>
    <row r="346">
      <c r="A346" s="1" t="str">
        <f>IFERROR(__xludf.DUMMYFUNCTION("""COMPUTED_VALUE"""),"Toro Ventures")</f>
        <v>Toro Ventures</v>
      </c>
      <c r="B346" s="1" t="str">
        <f>IFERROR(__xludf.DUMMYFUNCTION("""COMPUTED_VALUE"""),"Venture Capital Fund")</f>
        <v>Venture Capital Fund</v>
      </c>
      <c r="C346" s="7" t="str">
        <f>IFERROR(__xludf.DUMMYFUNCTION("""COMPUTED_VALUE"""),"http://www.toroventures.mx/")</f>
        <v>http://www.toroventures.mx/</v>
      </c>
      <c r="D346" s="1" t="str">
        <f>IFERROR(__xludf.DUMMYFUNCTION("""COMPUTED_VALUE"""),"Mexico")</f>
        <v>Mexico</v>
      </c>
      <c r="E346" s="1"/>
      <c r="F346" s="1"/>
      <c r="G346" s="1" t="str">
        <f>IFERROR(__xludf.DUMMYFUNCTION("""COMPUTED_VALUE"""),"Y")</f>
        <v>Y</v>
      </c>
      <c r="H346" s="1"/>
      <c r="I346" s="1"/>
      <c r="J346" s="1"/>
      <c r="K346" s="2"/>
      <c r="L346" s="2"/>
      <c r="M346" s="2"/>
      <c r="N346" s="3"/>
      <c r="O346" s="2" t="str">
        <f>IFERROR(__xludf.DUMMYFUNCTION("""COMPUTED_VALUE"""),"Toro Ventures is a venture capital fund based in Monterrey, Mexico and San Francisco. We empower entrepreneurs to build a better future.")</f>
        <v>Toro Ventures is a venture capital fund based in Monterrey, Mexico and San Francisco. We empower entrepreneurs to build a better future.</v>
      </c>
      <c r="P346" s="1"/>
      <c r="Q346" s="1"/>
      <c r="R346" s="1"/>
      <c r="S346" s="1"/>
      <c r="T346" s="1"/>
      <c r="U346" s="1"/>
      <c r="V346" s="1"/>
      <c r="W346" s="1"/>
      <c r="X346" s="1"/>
      <c r="Y346" s="1"/>
      <c r="Z346" s="1"/>
    </row>
    <row r="347">
      <c r="A347" s="1" t="str">
        <f>IFERROR(__xludf.DUMMYFUNCTION("""COMPUTED_VALUE"""),"TPG Growth")</f>
        <v>TPG Growth</v>
      </c>
      <c r="B347" s="1" t="str">
        <f>IFERROR(__xludf.DUMMYFUNCTION("""COMPUTED_VALUE"""),"Venture Capital Fund")</f>
        <v>Venture Capital Fund</v>
      </c>
      <c r="C347" s="7" t="str">
        <f>IFERROR(__xludf.DUMMYFUNCTION("""COMPUTED_VALUE"""),"https://www.tpg.com/platforms/tpggrowth")</f>
        <v>https://www.tpg.com/platforms/tpggrowth</v>
      </c>
      <c r="D347" s="1" t="str">
        <f>IFERROR(__xludf.DUMMYFUNCTION("""COMPUTED_VALUE"""),"United States of America")</f>
        <v>United States of America</v>
      </c>
      <c r="E347" s="1"/>
      <c r="F347" s="1"/>
      <c r="G347" s="1"/>
      <c r="H347" s="1" t="str">
        <f>IFERROR(__xludf.DUMMYFUNCTION("""COMPUTED_VALUE"""),"Y")</f>
        <v>Y</v>
      </c>
      <c r="I347" s="1" t="str">
        <f>IFERROR(__xludf.DUMMYFUNCTION("""COMPUTED_VALUE"""),"Y")</f>
        <v>Y</v>
      </c>
      <c r="J347" s="1" t="str">
        <f>IFERROR(__xludf.DUMMYFUNCTION("""COMPUTED_VALUE"""),"Y")</f>
        <v>Y</v>
      </c>
      <c r="K347" s="2"/>
      <c r="L347" s="2"/>
      <c r="M347" s="2"/>
      <c r="N347" s="3"/>
      <c r="O347" s="2" t="str">
        <f>IFERROR(__xludf.DUMMYFUNCTION("""COMPUTED_VALUE"""),"TPG Growth specializes in growth equity and middle-market buyout opportunities.")</f>
        <v>TPG Growth specializes in growth equity and middle-market buyout opportunities.</v>
      </c>
      <c r="P347" s="1"/>
      <c r="Q347" s="1"/>
      <c r="R347" s="1"/>
      <c r="S347" s="1"/>
      <c r="T347" s="1"/>
      <c r="U347" s="1"/>
      <c r="V347" s="1"/>
      <c r="W347" s="1"/>
      <c r="X347" s="1"/>
      <c r="Y347" s="1"/>
      <c r="Z347" s="1"/>
    </row>
    <row r="348">
      <c r="A348" s="1" t="str">
        <f>IFERROR(__xludf.DUMMYFUNCTION("""COMPUTED_VALUE"""),"Trebol Capital")</f>
        <v>Trebol Capital</v>
      </c>
      <c r="B348" s="1" t="str">
        <f>IFERROR(__xludf.DUMMYFUNCTION("""COMPUTED_VALUE"""),"Venture Capital Fund")</f>
        <v>Venture Capital Fund</v>
      </c>
      <c r="C348" s="7" t="str">
        <f>IFERROR(__xludf.DUMMYFUNCTION("""COMPUTED_VALUE"""),"http://trebolcapital.com/")</f>
        <v>http://trebolcapital.com/</v>
      </c>
      <c r="D348" s="1" t="str">
        <f>IFERROR(__xludf.DUMMYFUNCTION("""COMPUTED_VALUE"""),"Mexico")</f>
        <v>Mexico</v>
      </c>
      <c r="E348" s="1"/>
      <c r="F348" s="1"/>
      <c r="G348" s="1" t="str">
        <f>IFERROR(__xludf.DUMMYFUNCTION("""COMPUTED_VALUE"""),"Y")</f>
        <v>Y</v>
      </c>
      <c r="H348" s="1"/>
      <c r="I348" s="1"/>
      <c r="J348" s="1"/>
      <c r="K348" s="2"/>
      <c r="L348" s="2" t="str">
        <f>IFERROR(__xludf.DUMMYFUNCTION("""COMPUTED_VALUE"""),"500,000 - $7,000,000 MXN")</f>
        <v>500,000 - $7,000,000 MXN</v>
      </c>
      <c r="M348" s="2"/>
      <c r="N348" s="3"/>
      <c r="O348" s="2" t="str">
        <f>IFERROR(__xludf.DUMMYFUNCTION("""COMPUTED_VALUE"""),"Trebol Capital is a private equity fund for Startups projects in early stages with an innovative model based on information technology (IT).")</f>
        <v>Trebol Capital is a private equity fund for Startups projects in early stages with an innovative model based on information technology (IT).</v>
      </c>
      <c r="P348" s="1"/>
      <c r="Q348" s="1"/>
      <c r="R348" s="1"/>
      <c r="S348" s="1"/>
      <c r="T348" s="1"/>
      <c r="U348" s="1"/>
      <c r="V348" s="1"/>
      <c r="W348" s="1"/>
      <c r="X348" s="1"/>
      <c r="Y348" s="1"/>
      <c r="Z348" s="1"/>
    </row>
    <row r="349">
      <c r="A349" s="1" t="str">
        <f>IFERROR(__xludf.DUMMYFUNCTION("""COMPUTED_VALUE"""),"Triple Seven Accelerator")</f>
        <v>Triple Seven Accelerator</v>
      </c>
      <c r="B349" s="1" t="str">
        <f>IFERROR(__xludf.DUMMYFUNCTION("""COMPUTED_VALUE"""),"Venture Capital Fund")</f>
        <v>Venture Capital Fund</v>
      </c>
      <c r="C349" s="7" t="str">
        <f>IFERROR(__xludf.DUMMYFUNCTION("""COMPUTED_VALUE"""),"https://www.777.investments/")</f>
        <v>https://www.777.investments/</v>
      </c>
      <c r="D349" s="1" t="str">
        <f>IFERROR(__xludf.DUMMYFUNCTION("""COMPUTED_VALUE"""),"São Paulo")</f>
        <v>São Paulo</v>
      </c>
      <c r="E349" s="1" t="str">
        <f>IFERROR(__xludf.DUMMYFUNCTION("""COMPUTED_VALUE"""),"São Paulo")</f>
        <v>São Paulo</v>
      </c>
      <c r="F349" s="1" t="str">
        <f>IFERROR(__xludf.DUMMYFUNCTION("""COMPUTED_VALUE"""),"Y")</f>
        <v>Y</v>
      </c>
      <c r="G349" s="1" t="str">
        <f>IFERROR(__xludf.DUMMYFUNCTION("""COMPUTED_VALUE"""),"Y")</f>
        <v>Y</v>
      </c>
      <c r="H349" s="1"/>
      <c r="I349" s="1"/>
      <c r="J349" s="1"/>
      <c r="K349" s="2" t="str">
        <f>IFERROR(__xludf.DUMMYFUNCTION("""COMPUTED_VALUE"""),"São Paulo")</f>
        <v>São Paulo</v>
      </c>
      <c r="L349" s="2"/>
      <c r="M349" s="2"/>
      <c r="N349" s="3"/>
      <c r="O349" s="2" t="str">
        <f>IFERROR(__xludf.DUMMYFUNCTION("""COMPUTED_VALUE"""),"Triple Seven is an investment group founded in 2014 and headquartered in Sao Paulo, Brazil.")</f>
        <v>Triple Seven is an investment group founded in 2014 and headquartered in Sao Paulo, Brazil.</v>
      </c>
      <c r="P349" s="1"/>
      <c r="Q349" s="1"/>
      <c r="R349" s="1"/>
      <c r="S349" s="1"/>
      <c r="T349" s="1"/>
      <c r="U349" s="1"/>
      <c r="V349" s="1"/>
      <c r="W349" s="1"/>
      <c r="X349" s="1"/>
      <c r="Y349" s="1"/>
      <c r="Z349" s="1"/>
    </row>
    <row r="350">
      <c r="A350" s="1" t="str">
        <f>IFERROR(__xludf.DUMMYFUNCTION("""COMPUTED_VALUE"""),"Turbo Investments")</f>
        <v>Turbo Investments</v>
      </c>
      <c r="B350" s="1" t="str">
        <f>IFERROR(__xludf.DUMMYFUNCTION("""COMPUTED_VALUE"""),"Venture Capital Fund")</f>
        <v>Venture Capital Fund</v>
      </c>
      <c r="C350" s="7" t="str">
        <f>IFERROR(__xludf.DUMMYFUNCTION("""COMPUTED_VALUE"""),"https://uptimiza.com/")</f>
        <v>https://uptimiza.com/</v>
      </c>
      <c r="D350" s="1" t="str">
        <f>IFERROR(__xludf.DUMMYFUNCTION("""COMPUTED_VALUE"""),"Spain")</f>
        <v>Spain</v>
      </c>
      <c r="E350" s="1"/>
      <c r="F350" s="1"/>
      <c r="G350" s="1"/>
      <c r="H350" s="1"/>
      <c r="I350" s="1"/>
      <c r="J350" s="1"/>
      <c r="K350" s="2"/>
      <c r="L350" s="2"/>
      <c r="M350" s="2"/>
      <c r="N350" s="3"/>
      <c r="O350" s="2" t="str">
        <f>IFERROR(__xludf.DUMMYFUNCTION("""COMPUTED_VALUE"""),"Turbo Capital is a venture capital firm that invests in early, mid and growth stage companies.")</f>
        <v>Turbo Capital is a venture capital firm that invests in early, mid and growth stage companies.</v>
      </c>
      <c r="P350" s="1"/>
      <c r="Q350" s="1"/>
      <c r="R350" s="1"/>
      <c r="S350" s="1"/>
      <c r="T350" s="1"/>
      <c r="U350" s="1"/>
      <c r="V350" s="1"/>
      <c r="W350" s="1"/>
      <c r="X350" s="1"/>
      <c r="Y350" s="1"/>
      <c r="Z350" s="1"/>
    </row>
    <row r="351">
      <c r="A351" s="1" t="str">
        <f>IFERROR(__xludf.DUMMYFUNCTION("""COMPUTED_VALUE"""),"TyA Ventures")</f>
        <v>TyA Ventures</v>
      </c>
      <c r="B351" s="1" t="str">
        <f>IFERROR(__xludf.DUMMYFUNCTION("""COMPUTED_VALUE"""),"Family Office")</f>
        <v>Family Office</v>
      </c>
      <c r="C351" s="1"/>
      <c r="D351" s="1" t="str">
        <f>IFERROR(__xludf.DUMMYFUNCTION("""COMPUTED_VALUE"""),"Mexico")</f>
        <v>Mexico</v>
      </c>
      <c r="E351" s="1"/>
      <c r="F351" s="1"/>
      <c r="G351" s="1"/>
      <c r="H351" s="1"/>
      <c r="I351" s="1"/>
      <c r="J351" s="1"/>
      <c r="K351" s="2"/>
      <c r="L351" s="2"/>
      <c r="M351" s="2"/>
      <c r="N351" s="3"/>
      <c r="O351" s="2" t="str">
        <f>IFERROR(__xludf.DUMMYFUNCTION("""COMPUTED_VALUE"""),"Investment fund focused on investing in early stages in technology-based and exponential startups.")</f>
        <v>Investment fund focused on investing in early stages in technology-based and exponential startups.</v>
      </c>
      <c r="P351" s="1"/>
      <c r="Q351" s="1"/>
      <c r="R351" s="1"/>
      <c r="S351" s="1"/>
      <c r="T351" s="1"/>
      <c r="U351" s="1"/>
      <c r="V351" s="1"/>
      <c r="W351" s="1"/>
      <c r="X351" s="1"/>
      <c r="Y351" s="1"/>
      <c r="Z351" s="1"/>
    </row>
    <row r="352">
      <c r="A352" s="1" t="str">
        <f>IFERROR(__xludf.DUMMYFUNCTION("""COMPUTED_VALUE"""),"UDD Ventures")</f>
        <v>UDD Ventures</v>
      </c>
      <c r="B352" s="1" t="str">
        <f>IFERROR(__xludf.DUMMYFUNCTION("""COMPUTED_VALUE"""),"Accelerator")</f>
        <v>Accelerator</v>
      </c>
      <c r="C352" s="7" t="str">
        <f>IFERROR(__xludf.DUMMYFUNCTION("""COMPUTED_VALUE"""),"https://uddventures.udd.cl/")</f>
        <v>https://uddventures.udd.cl/</v>
      </c>
      <c r="D352" s="1" t="str">
        <f>IFERROR(__xludf.DUMMYFUNCTION("""COMPUTED_VALUE"""),"Chile")</f>
        <v>Chile</v>
      </c>
      <c r="E352" s="1"/>
      <c r="F352" s="1" t="str">
        <f>IFERROR(__xludf.DUMMYFUNCTION("""COMPUTED_VALUE"""),"Y")</f>
        <v>Y</v>
      </c>
      <c r="G352" s="1" t="str">
        <f>IFERROR(__xludf.DUMMYFUNCTION("""COMPUTED_VALUE"""),"Y")</f>
        <v>Y</v>
      </c>
      <c r="H352" s="1"/>
      <c r="I352" s="1"/>
      <c r="J352" s="1"/>
      <c r="K352" s="2"/>
      <c r="L352" s="2"/>
      <c r="M352" s="2"/>
      <c r="N352" s="3"/>
      <c r="O352" s="2" t="str">
        <f>IFERROR(__xludf.DUMMYFUNCTION("""COMPUTED_VALUE"""),"UDD Ventures provides students and entrepreneurs with capital and advisory services to develop early-stage projects.")</f>
        <v>UDD Ventures provides students and entrepreneurs with capital and advisory services to develop early-stage projects.</v>
      </c>
      <c r="P352" s="1"/>
      <c r="Q352" s="1"/>
      <c r="R352" s="1"/>
      <c r="S352" s="1"/>
      <c r="T352" s="1"/>
      <c r="U352" s="1"/>
      <c r="V352" s="1"/>
      <c r="W352" s="1"/>
      <c r="X352" s="1"/>
      <c r="Y352" s="1"/>
      <c r="Z352" s="1"/>
    </row>
    <row r="353">
      <c r="A353" s="1" t="str">
        <f>IFERROR(__xludf.DUMMYFUNCTION("""COMPUTED_VALUE"""),"Uprising Venture Fund")</f>
        <v>Uprising Venture Fund</v>
      </c>
      <c r="B353" s="1" t="str">
        <f>IFERROR(__xludf.DUMMYFUNCTION("""COMPUTED_VALUE"""),"Venture Capital Fund")</f>
        <v>Venture Capital Fund</v>
      </c>
      <c r="C353" s="7" t="str">
        <f>IFERROR(__xludf.DUMMYFUNCTION("""COMPUTED_VALUE"""),"http://www.uprising.us/")</f>
        <v>http://www.uprising.us/</v>
      </c>
      <c r="D353" s="1" t="str">
        <f>IFERROR(__xludf.DUMMYFUNCTION("""COMPUTED_VALUE"""),"United States of America")</f>
        <v>United States of America</v>
      </c>
      <c r="E353" s="1"/>
      <c r="F353" s="1"/>
      <c r="G353" s="1"/>
      <c r="H353" s="1"/>
      <c r="I353" s="1"/>
      <c r="J353" s="1"/>
      <c r="K353" s="2"/>
      <c r="L353" s="2"/>
      <c r="M353" s="2"/>
      <c r="N353" s="3"/>
      <c r="O353" s="2" t="str">
        <f>IFERROR(__xludf.DUMMYFUNCTION("""COMPUTED_VALUE"""),"Uprising is a fund and platform to catalyze epic entrepreneurial endeavors that matter.")</f>
        <v>Uprising is a fund and platform to catalyze epic entrepreneurial endeavors that matter.</v>
      </c>
      <c r="P353" s="1"/>
      <c r="Q353" s="1"/>
      <c r="R353" s="1"/>
      <c r="S353" s="1"/>
      <c r="T353" s="1"/>
      <c r="U353" s="1"/>
      <c r="V353" s="1"/>
      <c r="W353" s="1"/>
      <c r="X353" s="1"/>
      <c r="Y353" s="1"/>
      <c r="Z353" s="1"/>
    </row>
    <row r="354">
      <c r="A354" s="1" t="str">
        <f>IFERROR(__xludf.DUMMYFUNCTION("""COMPUTED_VALUE"""),"UTEC Ventures")</f>
        <v>UTEC Ventures</v>
      </c>
      <c r="B354" s="1" t="str">
        <f>IFERROR(__xludf.DUMMYFUNCTION("""COMPUTED_VALUE"""),"Accelerator")</f>
        <v>Accelerator</v>
      </c>
      <c r="C354" s="7" t="str">
        <f>IFERROR(__xludf.DUMMYFUNCTION("""COMPUTED_VALUE"""),"http://utecventures.com/")</f>
        <v>http://utecventures.com/</v>
      </c>
      <c r="D354" s="1" t="str">
        <f>IFERROR(__xludf.DUMMYFUNCTION("""COMPUTED_VALUE"""),"Peru")</f>
        <v>Peru</v>
      </c>
      <c r="E354" s="1"/>
      <c r="F354" s="1"/>
      <c r="G354" s="1"/>
      <c r="H354" s="1"/>
      <c r="I354" s="1"/>
      <c r="J354" s="1"/>
      <c r="K354" s="2"/>
      <c r="L354" s="2"/>
      <c r="M354" s="2"/>
      <c r="N354" s="3"/>
      <c r="O354" s="2" t="str">
        <f>IFERROR(__xludf.DUMMYFUNCTION("""COMPUTED_VALUE"""),"UTEC Ventures is a business accelerator that connects technology startups and corporations.")</f>
        <v>UTEC Ventures is a business accelerator that connects technology startups and corporations.</v>
      </c>
      <c r="P354" s="1"/>
      <c r="Q354" s="1"/>
      <c r="R354" s="1"/>
      <c r="S354" s="1"/>
      <c r="T354" s="1"/>
      <c r="U354" s="1"/>
      <c r="V354" s="1"/>
      <c r="W354" s="1"/>
      <c r="X354" s="1"/>
      <c r="Y354" s="1"/>
      <c r="Z354" s="1"/>
    </row>
    <row r="355">
      <c r="A355" s="1" t="str">
        <f>IFERROR(__xludf.DUMMYFUNCTION("""COMPUTED_VALUE"""),"Valhalla Private Capital")</f>
        <v>Valhalla Private Capital</v>
      </c>
      <c r="B355" s="1" t="str">
        <f>IFERROR(__xludf.DUMMYFUNCTION("""COMPUTED_VALUE"""),"Corporate Venture Capital Fund")</f>
        <v>Corporate Venture Capital Fund</v>
      </c>
      <c r="C355" s="7" t="str">
        <f>IFERROR(__xludf.DUMMYFUNCTION("""COMPUTED_VALUE"""),"https://valhallaprivatecap.com/")</f>
        <v>https://valhallaprivatecap.com/</v>
      </c>
      <c r="D355" s="1" t="str">
        <f>IFERROR(__xludf.DUMMYFUNCTION("""COMPUTED_VALUE"""),"Canada")</f>
        <v>Canada</v>
      </c>
      <c r="E355" s="1"/>
      <c r="F355" s="1"/>
      <c r="G355" s="1"/>
      <c r="H355" s="1"/>
      <c r="I355" s="1"/>
      <c r="J355" s="1"/>
      <c r="K355" s="2"/>
      <c r="L355" s="2"/>
      <c r="M355" s="2"/>
      <c r="N355" s="3"/>
      <c r="O355" s="2" t="str">
        <f>IFERROR(__xludf.DUMMYFUNCTION("""COMPUTED_VALUE"""),"Valhalla Private Capital is a full service corporate finance firm.")</f>
        <v>Valhalla Private Capital is a full service corporate finance firm.</v>
      </c>
      <c r="P355" s="1"/>
      <c r="Q355" s="1"/>
      <c r="R355" s="1"/>
      <c r="S355" s="1"/>
      <c r="T355" s="1"/>
      <c r="U355" s="1"/>
      <c r="V355" s="1"/>
      <c r="W355" s="1"/>
      <c r="X355" s="1"/>
      <c r="Y355" s="1"/>
      <c r="Z355" s="1"/>
    </row>
    <row r="356">
      <c r="A356" s="1" t="str">
        <f>IFERROR(__xludf.DUMMYFUNCTION("""COMPUTED_VALUE"""),"Valor Capital Group")</f>
        <v>Valor Capital Group</v>
      </c>
      <c r="B356" s="1" t="str">
        <f>IFERROR(__xludf.DUMMYFUNCTION("""COMPUTED_VALUE"""),"Venture Capital Fund")</f>
        <v>Venture Capital Fund</v>
      </c>
      <c r="C356" s="7" t="str">
        <f>IFERROR(__xludf.DUMMYFUNCTION("""COMPUTED_VALUE"""),"http://valorcapitalgroup.com/")</f>
        <v>http://valorcapitalgroup.com/</v>
      </c>
      <c r="D356" s="1" t="str">
        <f>IFERROR(__xludf.DUMMYFUNCTION("""COMPUTED_VALUE"""),"United States of America")</f>
        <v>United States of America</v>
      </c>
      <c r="E356" s="1"/>
      <c r="F356" s="1" t="str">
        <f>IFERROR(__xludf.DUMMYFUNCTION("""COMPUTED_VALUE"""),"Y")</f>
        <v>Y</v>
      </c>
      <c r="G356" s="1" t="str">
        <f>IFERROR(__xludf.DUMMYFUNCTION("""COMPUTED_VALUE"""),"Y")</f>
        <v>Y</v>
      </c>
      <c r="H356" s="1" t="str">
        <f>IFERROR(__xludf.DUMMYFUNCTION("""COMPUTED_VALUE"""),"Y")</f>
        <v>Y</v>
      </c>
      <c r="I356" s="1" t="str">
        <f>IFERROR(__xludf.DUMMYFUNCTION("""COMPUTED_VALUE"""),"Y")</f>
        <v>Y</v>
      </c>
      <c r="J356" s="1" t="str">
        <f>IFERROR(__xludf.DUMMYFUNCTION("""COMPUTED_VALUE"""),"Y")</f>
        <v>Y</v>
      </c>
      <c r="K356" s="2"/>
      <c r="L356" s="2"/>
      <c r="M356" s="2"/>
      <c r="N356" s="3"/>
      <c r="O356" s="2" t="str">
        <f>IFERROR(__xludf.DUMMYFUNCTION("""COMPUTED_VALUE"""),"Valor is an investment firm focused on Brazil and US-BR cross-border opportunities with a presence in New York, Menlo Park, and São Paulo")</f>
        <v>Valor is an investment firm focused on Brazil and US-BR cross-border opportunities with a presence in New York, Menlo Park, and São Paulo</v>
      </c>
      <c r="P356" s="1"/>
      <c r="Q356" s="1">
        <f>IFERROR(__xludf.DUMMYFUNCTION("""COMPUTED_VALUE"""),43831.0)</f>
        <v>43831</v>
      </c>
      <c r="R356" s="1"/>
      <c r="S356" s="1"/>
      <c r="T356" s="1"/>
      <c r="U356" s="1"/>
      <c r="V356" s="1"/>
      <c r="W356" s="1"/>
      <c r="X356" s="1"/>
      <c r="Y356" s="1"/>
      <c r="Z356" s="1"/>
    </row>
    <row r="357">
      <c r="A357" s="1" t="str">
        <f>IFERROR(__xludf.DUMMYFUNCTION("""COMPUTED_VALUE"""),"Valure Capital")</f>
        <v>Valure Capital</v>
      </c>
      <c r="B357" s="1" t="str">
        <f>IFERROR(__xludf.DUMMYFUNCTION("""COMPUTED_VALUE"""),"Investment Management")</f>
        <v>Investment Management</v>
      </c>
      <c r="C357" s="7" t="str">
        <f>IFERROR(__xludf.DUMMYFUNCTION("""COMPUTED_VALUE"""),"http://www.valurecapital.co/")</f>
        <v>http://www.valurecapital.co/</v>
      </c>
      <c r="D357" s="1" t="str">
        <f>IFERROR(__xludf.DUMMYFUNCTION("""COMPUTED_VALUE"""),"Colombia")</f>
        <v>Colombia</v>
      </c>
      <c r="E357" s="1"/>
      <c r="F357" s="1"/>
      <c r="G357" s="1"/>
      <c r="H357" s="1"/>
      <c r="I357" s="1"/>
      <c r="J357" s="1"/>
      <c r="K357" s="2"/>
      <c r="L357" s="2"/>
      <c r="M357" s="2"/>
      <c r="N357" s="3"/>
      <c r="O357" s="2" t="str">
        <f>IFERROR(__xludf.DUMMYFUNCTION("""COMPUTED_VALUE"""),"Valure Capital, is an investment and asset management firm focused on private equity of several sectors including real estate, digital- technology and retail")</f>
        <v>Valure Capital, is an investment and asset management firm focused on private equity of several sectors including real estate, digital- technology and retail</v>
      </c>
      <c r="P357" s="1"/>
      <c r="Q357" s="1"/>
      <c r="R357" s="1"/>
      <c r="S357" s="1"/>
      <c r="T357" s="1"/>
      <c r="U357" s="1"/>
      <c r="V357" s="1"/>
      <c r="W357" s="1"/>
      <c r="X357" s="1"/>
      <c r="Y357" s="1"/>
      <c r="Z357" s="1"/>
    </row>
    <row r="358">
      <c r="A358" s="1" t="str">
        <f>IFERROR(__xludf.DUMMYFUNCTION("""COMPUTED_VALUE"""),"Vander Capital Partners")</f>
        <v>Vander Capital Partners</v>
      </c>
      <c r="B358" s="1" t="str">
        <f>IFERROR(__xludf.DUMMYFUNCTION("""COMPUTED_VALUE"""),"Venture Capital Fund")</f>
        <v>Venture Capital Fund</v>
      </c>
      <c r="C358" s="7" t="str">
        <f>IFERROR(__xludf.DUMMYFUNCTION("""COMPUTED_VALUE"""),"https://www.vandercp.com/about-us/")</f>
        <v>https://www.vandercp.com/about-us/</v>
      </c>
      <c r="D358" s="1" t="str">
        <f>IFERROR(__xludf.DUMMYFUNCTION("""COMPUTED_VALUE"""),"United States of America")</f>
        <v>United States of America</v>
      </c>
      <c r="E358" s="1"/>
      <c r="F358" s="1"/>
      <c r="G358" s="1" t="str">
        <f>IFERROR(__xludf.DUMMYFUNCTION("""COMPUTED_VALUE"""),"Y")</f>
        <v>Y</v>
      </c>
      <c r="H358" s="1" t="str">
        <f>IFERROR(__xludf.DUMMYFUNCTION("""COMPUTED_VALUE"""),"Y")</f>
        <v>Y</v>
      </c>
      <c r="I358" s="1"/>
      <c r="J358" s="1"/>
      <c r="K358" s="2"/>
      <c r="L358" s="2"/>
      <c r="M358" s="2"/>
      <c r="N358" s="3"/>
      <c r="O358" s="2" t="str">
        <f>IFERROR(__xludf.DUMMYFUNCTION("""COMPUTED_VALUE"""),"Vander Capital Partners is an investment management firm.")</f>
        <v>Vander Capital Partners is an investment management firm.</v>
      </c>
      <c r="P358" s="1"/>
      <c r="Q358" s="1"/>
      <c r="R358" s="1"/>
      <c r="S358" s="1"/>
      <c r="T358" s="1"/>
      <c r="U358" s="1"/>
      <c r="V358" s="1"/>
      <c r="W358" s="1"/>
      <c r="X358" s="1"/>
      <c r="Y358" s="1"/>
      <c r="Z358" s="1"/>
    </row>
    <row r="359">
      <c r="A359" s="1" t="str">
        <f>IFERROR(__xludf.DUMMYFUNCTION("""COMPUTED_VALUE"""),"Vas Ventures")</f>
        <v>Vas Ventures</v>
      </c>
      <c r="B359" s="1" t="str">
        <f>IFERROR(__xludf.DUMMYFUNCTION("""COMPUTED_VALUE"""),"Venture Capital Fund")</f>
        <v>Venture Capital Fund</v>
      </c>
      <c r="C359" s="7" t="str">
        <f>IFERROR(__xludf.DUMMYFUNCTION("""COMPUTED_VALUE"""),"https://vas.ventures/")</f>
        <v>https://vas.ventures/</v>
      </c>
      <c r="D359" s="1" t="str">
        <f>IFERROR(__xludf.DUMMYFUNCTION("""COMPUTED_VALUE"""),"Spain")</f>
        <v>Spain</v>
      </c>
      <c r="E359" s="1"/>
      <c r="F359" s="1"/>
      <c r="G359" s="1" t="str">
        <f>IFERROR(__xludf.DUMMYFUNCTION("""COMPUTED_VALUE"""),"Y")</f>
        <v>Y</v>
      </c>
      <c r="H359" s="1" t="str">
        <f>IFERROR(__xludf.DUMMYFUNCTION("""COMPUTED_VALUE"""),"Y")</f>
        <v>Y</v>
      </c>
      <c r="I359" s="1" t="str">
        <f>IFERROR(__xludf.DUMMYFUNCTION("""COMPUTED_VALUE"""),"Y")</f>
        <v>Y</v>
      </c>
      <c r="J359" s="1" t="str">
        <f>IFERROR(__xludf.DUMMYFUNCTION("""COMPUTED_VALUE"""),"Y")</f>
        <v>Y</v>
      </c>
      <c r="K359" s="2"/>
      <c r="L359" s="2"/>
      <c r="M359" s="2"/>
      <c r="N359" s="3"/>
      <c r="O359" s="2" t="str">
        <f>IFERROR(__xludf.DUMMYFUNCTION("""COMPUTED_VALUE"""),"VAS Ventures is an early stage investment fund looking for companies in the mobility, mobile and SaaS space.
")</f>
        <v>VAS Ventures is an early stage investment fund looking for companies in the mobility, mobile and SaaS space.
</v>
      </c>
      <c r="P359" s="1"/>
      <c r="Q359" s="1"/>
      <c r="R359" s="1"/>
      <c r="S359" s="1"/>
      <c r="T359" s="1"/>
      <c r="U359" s="1"/>
      <c r="V359" s="1"/>
      <c r="W359" s="1"/>
      <c r="X359" s="1"/>
      <c r="Y359" s="1"/>
      <c r="Z359" s="1"/>
    </row>
    <row r="360">
      <c r="A360" s="1" t="str">
        <f>IFERROR(__xludf.DUMMYFUNCTION("""COMPUTED_VALUE"""),"VCS Capital")</f>
        <v>VCS Capital</v>
      </c>
      <c r="B360" s="1" t="str">
        <f>IFERROR(__xludf.DUMMYFUNCTION("""COMPUTED_VALUE"""),"Venture Capital Fund")</f>
        <v>Venture Capital Fund</v>
      </c>
      <c r="C360" s="7" t="str">
        <f>IFERROR(__xludf.DUMMYFUNCTION("""COMPUTED_VALUE"""),"http://vcscapital.com/")</f>
        <v>http://vcscapital.com/</v>
      </c>
      <c r="D360" s="1" t="str">
        <f>IFERROR(__xludf.DUMMYFUNCTION("""COMPUTED_VALUE"""),"Mexico")</f>
        <v>Mexico</v>
      </c>
      <c r="E360" s="1"/>
      <c r="F360" s="1"/>
      <c r="G360" s="1"/>
      <c r="H360" s="1"/>
      <c r="I360" s="1"/>
      <c r="J360" s="1"/>
      <c r="K360" s="2"/>
      <c r="L360" s="2"/>
      <c r="M360" s="2"/>
      <c r="N360" s="3"/>
      <c r="O360" s="2" t="str">
        <f>IFERROR(__xludf.DUMMYFUNCTION("""COMPUTED_VALUE"""),"VCS Capital is the first Venture Capital Fund focused on investing in the entertainment sector in Mexico.")</f>
        <v>VCS Capital is the first Venture Capital Fund focused on investing in the entertainment sector in Mexico.</v>
      </c>
      <c r="P360" s="1" t="str">
        <f>IFERROR(__xludf.DUMMYFUNCTION("""COMPUTED_VALUE"""),"Closed")</f>
        <v>Closed</v>
      </c>
      <c r="Q360" s="1"/>
      <c r="R360" s="1"/>
      <c r="S360" s="1"/>
      <c r="T360" s="1"/>
      <c r="U360" s="1"/>
      <c r="V360" s="1"/>
      <c r="W360" s="1"/>
      <c r="X360" s="1"/>
      <c r="Y360" s="1"/>
      <c r="Z360" s="1"/>
    </row>
    <row r="361">
      <c r="A361" s="1" t="str">
        <f>IFERROR(__xludf.DUMMYFUNCTION("""COMPUTED_VALUE"""),"Ventiur")</f>
        <v>Ventiur</v>
      </c>
      <c r="B361" s="1" t="str">
        <f>IFERROR(__xludf.DUMMYFUNCTION("""COMPUTED_VALUE"""),"Accelerator")</f>
        <v>Accelerator</v>
      </c>
      <c r="C361" s="7" t="str">
        <f>IFERROR(__xludf.DUMMYFUNCTION("""COMPUTED_VALUE"""),"https://ventiur.net/")</f>
        <v>https://ventiur.net/</v>
      </c>
      <c r="D361" s="1" t="str">
        <f>IFERROR(__xludf.DUMMYFUNCTION("""COMPUTED_VALUE"""),"Brazil")</f>
        <v>Brazil</v>
      </c>
      <c r="E361" s="1"/>
      <c r="F361" s="1" t="str">
        <f>IFERROR(__xludf.DUMMYFUNCTION("""COMPUTED_VALUE"""),"Y")</f>
        <v>Y</v>
      </c>
      <c r="G361" s="1"/>
      <c r="H361" s="1"/>
      <c r="I361" s="1"/>
      <c r="J361" s="1"/>
      <c r="K361" s="2"/>
      <c r="L361" s="2"/>
      <c r="M361" s="2"/>
      <c r="N361" s="3"/>
      <c r="O361" s="2" t="str">
        <f>IFERROR(__xludf.DUMMYFUNCTION("""COMPUTED_VALUE"""),"Ventiur Aceleradora is a venture accelerator that invests in companies in the seed, startup, and early stages of development.")</f>
        <v>Ventiur Aceleradora is a venture accelerator that invests in companies in the seed, startup, and early stages of development.</v>
      </c>
      <c r="P361" s="1"/>
      <c r="Q361" s="1"/>
      <c r="R361" s="1"/>
      <c r="S361" s="1"/>
      <c r="T361" s="1"/>
      <c r="U361" s="1"/>
      <c r="V361" s="1"/>
      <c r="W361" s="1"/>
      <c r="X361" s="1"/>
      <c r="Y361" s="1"/>
      <c r="Z361" s="1"/>
    </row>
    <row r="362">
      <c r="A362" s="1" t="str">
        <f>IFERROR(__xludf.DUMMYFUNCTION("""COMPUTED_VALUE"""),"Veronorte")</f>
        <v>Veronorte</v>
      </c>
      <c r="B362" s="1" t="str">
        <f>IFERROR(__xludf.DUMMYFUNCTION("""COMPUTED_VALUE"""),"Venture Capital Fund")</f>
        <v>Venture Capital Fund</v>
      </c>
      <c r="C362" s="7" t="str">
        <f>IFERROR(__xludf.DUMMYFUNCTION("""COMPUTED_VALUE"""),"http://www.veronorte.com")</f>
        <v>http://www.veronorte.com</v>
      </c>
      <c r="D362" s="1" t="str">
        <f>IFERROR(__xludf.DUMMYFUNCTION("""COMPUTED_VALUE"""),"Colombia")</f>
        <v>Colombia</v>
      </c>
      <c r="E362" s="1"/>
      <c r="F362" s="1"/>
      <c r="G362" s="1"/>
      <c r="H362" s="1" t="str">
        <f>IFERROR(__xludf.DUMMYFUNCTION("""COMPUTED_VALUE"""),"Y")</f>
        <v>Y</v>
      </c>
      <c r="I362" s="1" t="str">
        <f>IFERROR(__xludf.DUMMYFUNCTION("""COMPUTED_VALUE"""),"Y")</f>
        <v>Y</v>
      </c>
      <c r="J362" s="1" t="str">
        <f>IFERROR(__xludf.DUMMYFUNCTION("""COMPUTED_VALUE"""),"Y")</f>
        <v>Y</v>
      </c>
      <c r="K362" s="2"/>
      <c r="L362" s="2" t="str">
        <f>IFERROR(__xludf.DUMMYFUNCTION("""COMPUTED_VALUE"""),"2-5M USD")</f>
        <v>2-5M USD</v>
      </c>
      <c r="M362" s="2"/>
      <c r="N362" s="3"/>
      <c r="O362" s="2" t="str">
        <f>IFERROR(__xludf.DUMMYFUNCTION("""COMPUTED_VALUE"""),"Investment management firm focused in early and growth stage companies. Our corporates include Grupo SURA, Grupo Argos and Grupo Nutresa.")</f>
        <v>Investment management firm focused in early and growth stage companies. Our corporates include Grupo SURA, Grupo Argos and Grupo Nutresa.</v>
      </c>
      <c r="P362" s="1"/>
      <c r="Q362" s="1"/>
      <c r="R362" s="1"/>
      <c r="S362" s="1"/>
      <c r="T362" s="1"/>
      <c r="U362" s="1"/>
      <c r="V362" s="1"/>
      <c r="W362" s="1"/>
      <c r="X362" s="1"/>
      <c r="Y362" s="1"/>
      <c r="Z362" s="1"/>
    </row>
    <row r="363">
      <c r="A363" s="1" t="str">
        <f>IFERROR(__xludf.DUMMYFUNCTION("""COMPUTED_VALUE"""),"Victory Park Capital")</f>
        <v>Victory Park Capital</v>
      </c>
      <c r="B363" s="1" t="str">
        <f>IFERROR(__xludf.DUMMYFUNCTION("""COMPUTED_VALUE"""),"Private Equity Firm")</f>
        <v>Private Equity Firm</v>
      </c>
      <c r="C363" s="7" t="str">
        <f>IFERROR(__xludf.DUMMYFUNCTION("""COMPUTED_VALUE"""),"https://www.victoryparkcapital.com/")</f>
        <v>https://www.victoryparkcapital.com/</v>
      </c>
      <c r="D363" s="1" t="str">
        <f>IFERROR(__xludf.DUMMYFUNCTION("""COMPUTED_VALUE"""),"United States of America")</f>
        <v>United States of America</v>
      </c>
      <c r="E363" s="1"/>
      <c r="F363" s="1"/>
      <c r="G363" s="1"/>
      <c r="H363" s="1"/>
      <c r="I363" s="1" t="str">
        <f>IFERROR(__xludf.DUMMYFUNCTION("""COMPUTED_VALUE"""),"Y")</f>
        <v>Y</v>
      </c>
      <c r="J363" s="1" t="str">
        <f>IFERROR(__xludf.DUMMYFUNCTION("""COMPUTED_VALUE"""),"Y")</f>
        <v>Y</v>
      </c>
      <c r="K363" s="2"/>
      <c r="L363" s="2"/>
      <c r="M363" s="2"/>
      <c r="N363" s="3"/>
      <c r="O363" s="2" t="str">
        <f>IFERROR(__xludf.DUMMYFUNCTION("""COMPUTED_VALUE"""),"Victory Park Capital Advisors is a privately held, SEC-registered, global alternative investment firm.")</f>
        <v>Victory Park Capital Advisors is a privately held, SEC-registered, global alternative investment firm.</v>
      </c>
      <c r="P363" s="1"/>
      <c r="Q363" s="1"/>
      <c r="R363" s="1"/>
      <c r="S363" s="1"/>
      <c r="T363" s="1"/>
      <c r="U363" s="1"/>
      <c r="V363" s="1"/>
      <c r="W363" s="1"/>
      <c r="X363" s="1"/>
      <c r="Y363" s="1"/>
      <c r="Z363" s="1"/>
    </row>
    <row r="364">
      <c r="A364" s="1" t="str">
        <f>IFERROR(__xludf.DUMMYFUNCTION("""COMPUTED_VALUE"""),"Village Capital")</f>
        <v>Village Capital</v>
      </c>
      <c r="B364" s="1" t="str">
        <f>IFERROR(__xludf.DUMMYFUNCTION("""COMPUTED_VALUE"""),"Accelerator")</f>
        <v>Accelerator</v>
      </c>
      <c r="C364" s="7" t="str">
        <f>IFERROR(__xludf.DUMMYFUNCTION("""COMPUTED_VALUE"""),"https://vilcap.com/")</f>
        <v>https://vilcap.com/</v>
      </c>
      <c r="D364" s="1"/>
      <c r="E364" s="1"/>
      <c r="F364" s="1" t="str">
        <f>IFERROR(__xludf.DUMMYFUNCTION("""COMPUTED_VALUE"""),"Y")</f>
        <v>Y</v>
      </c>
      <c r="G364" s="1" t="str">
        <f>IFERROR(__xludf.DUMMYFUNCTION("""COMPUTED_VALUE"""),"Y")</f>
        <v>Y</v>
      </c>
      <c r="H364" s="1" t="str">
        <f>IFERROR(__xludf.DUMMYFUNCTION("""COMPUTED_VALUE"""),"Y")</f>
        <v>Y</v>
      </c>
      <c r="I364" s="1"/>
      <c r="J364" s="1"/>
      <c r="K364" s="2"/>
      <c r="L364" s="2"/>
      <c r="M364" s="2" t="str">
        <f>IFERROR(__xludf.DUMMYFUNCTION("""COMPUTED_VALUE"""),"Finance")</f>
        <v>Finance</v>
      </c>
      <c r="N364" s="3"/>
      <c r="O364" s="2" t="str">
        <f>IFERROR(__xludf.DUMMYFUNCTION("""COMPUTED_VALUE"""),"Village Capital builds bridges for entrepreneurs who are creating an inclusive and sustainable world.")</f>
        <v>Village Capital builds bridges for entrepreneurs who are creating an inclusive and sustainable world.</v>
      </c>
      <c r="P364" s="1"/>
      <c r="Q364" s="1"/>
      <c r="R364" s="1"/>
      <c r="S364" s="1"/>
      <c r="T364" s="1"/>
      <c r="U364" s="1"/>
      <c r="V364" s="1"/>
      <c r="W364" s="1"/>
      <c r="X364" s="1"/>
      <c r="Y364" s="1"/>
      <c r="Z364" s="1"/>
    </row>
    <row r="365">
      <c r="A365" s="1" t="str">
        <f>IFERROR(__xludf.DUMMYFUNCTION("""COMPUTED_VALUE"""),"Vincus")</f>
        <v>Vincus</v>
      </c>
      <c r="B365" s="1" t="str">
        <f>IFERROR(__xludf.DUMMYFUNCTION("""COMPUTED_VALUE"""),"Venture Capital Fund")</f>
        <v>Venture Capital Fund</v>
      </c>
      <c r="C365" s="7" t="str">
        <f>IFERROR(__xludf.DUMMYFUNCTION("""COMPUTED_VALUE"""),"http://vincus.com.mx/")</f>
        <v>http://vincus.com.mx/</v>
      </c>
      <c r="D365" s="1" t="str">
        <f>IFERROR(__xludf.DUMMYFUNCTION("""COMPUTED_VALUE"""),"Mexico")</f>
        <v>Mexico</v>
      </c>
      <c r="E365" s="1"/>
      <c r="F365" s="1"/>
      <c r="G365" s="1"/>
      <c r="H365" s="1"/>
      <c r="I365" s="1"/>
      <c r="J365" s="1"/>
      <c r="K365" s="2"/>
      <c r="L365" s="2"/>
      <c r="M365" s="2"/>
      <c r="N365" s="3"/>
      <c r="O365" s="2" t="str">
        <f>IFERROR(__xludf.DUMMYFUNCTION("""COMPUTED_VALUE"""),"We invest capital in newly created ideas and businesses powered by passionate people; If you have a great idea and the enthusiasm to make it a reality, we want to meet you.")</f>
        <v>We invest capital in newly created ideas and businesses powered by passionate people; If you have a great idea and the enthusiasm to make it a reality, we want to meet you.</v>
      </c>
      <c r="P365" s="1"/>
      <c r="Q365" s="1"/>
      <c r="R365" s="1"/>
      <c r="S365" s="1"/>
      <c r="T365" s="1"/>
      <c r="U365" s="1"/>
      <c r="V365" s="1"/>
      <c r="W365" s="1"/>
      <c r="X365" s="1"/>
      <c r="Y365" s="1"/>
      <c r="Z365" s="1"/>
    </row>
    <row r="366">
      <c r="A366" s="1" t="str">
        <f>IFERROR(__xludf.DUMMYFUNCTION("""COMPUTED_VALUE"""),"Vostok Emerging Finance")</f>
        <v>Vostok Emerging Finance</v>
      </c>
      <c r="B366" s="1" t="str">
        <f>IFERROR(__xludf.DUMMYFUNCTION("""COMPUTED_VALUE"""),"Venture Capital Fund")</f>
        <v>Venture Capital Fund</v>
      </c>
      <c r="C366" s="7" t="str">
        <f>IFERROR(__xludf.DUMMYFUNCTION("""COMPUTED_VALUE"""),"https://vef.vc/")</f>
        <v>https://vef.vc/</v>
      </c>
      <c r="D366" s="1" t="str">
        <f>IFERROR(__xludf.DUMMYFUNCTION("""COMPUTED_VALUE"""),"Sweden")</f>
        <v>Sweden</v>
      </c>
      <c r="E366" s="1"/>
      <c r="F366" s="1"/>
      <c r="G366" s="1"/>
      <c r="H366" s="1" t="str">
        <f>IFERROR(__xludf.DUMMYFUNCTION("""COMPUTED_VALUE"""),"Y")</f>
        <v>Y</v>
      </c>
      <c r="I366" s="1" t="str">
        <f>IFERROR(__xludf.DUMMYFUNCTION("""COMPUTED_VALUE"""),"Y")</f>
        <v>Y</v>
      </c>
      <c r="J366" s="1" t="str">
        <f>IFERROR(__xludf.DUMMYFUNCTION("""COMPUTED_VALUE"""),"Y")</f>
        <v>Y</v>
      </c>
      <c r="K366" s="2"/>
      <c r="L366" s="2"/>
      <c r="M366" s="2" t="str">
        <f>IFERROR(__xludf.DUMMYFUNCTION("""COMPUTED_VALUE"""),"Finance")</f>
        <v>Finance</v>
      </c>
      <c r="N366" s="3"/>
      <c r="O366" s="2" t="str">
        <f>IFERROR(__xludf.DUMMYFUNCTION("""COMPUTED_VALUE"""),"VEF is a listed Swedish investment company that invests in leading fintech companies across emerging markets. We take minority stakes and are active investors with board representation in each of our 12 portfolio companies, always looking to back the best"&amp;" entrepreneurs in the markets we are in. We focus on scale emerging markets and invest across all areas of financial services inclusive of payments, credit, mobile money and wealth advisors. ")</f>
        <v>VEF is a listed Swedish investment company that invests in leading fintech companies across emerging markets. We take minority stakes and are active investors with board representation in each of our 12 portfolio companies, always looking to back the best entrepreneurs in the markets we are in. We focus on scale emerging markets and invest across all areas of financial services inclusive of payments, credit, mobile money and wealth advisors. </v>
      </c>
      <c r="P366" s="1"/>
      <c r="Q366" s="1"/>
      <c r="R366" s="1"/>
      <c r="S366" s="1"/>
      <c r="T366" s="1"/>
      <c r="U366" s="1"/>
      <c r="V366" s="1"/>
      <c r="W366" s="1"/>
      <c r="X366" s="1"/>
      <c r="Y366" s="1"/>
      <c r="Z366" s="1"/>
    </row>
    <row r="367">
      <c r="A367" s="1" t="str">
        <f>IFERROR(__xludf.DUMMYFUNCTION("""COMPUTED_VALUE"""),"Vulcan Capital")</f>
        <v>Vulcan Capital</v>
      </c>
      <c r="B367" s="1" t="str">
        <f>IFERROR(__xludf.DUMMYFUNCTION("""COMPUTED_VALUE"""),"Venture Capital Fund")</f>
        <v>Venture Capital Fund</v>
      </c>
      <c r="C367" s="7" t="str">
        <f>IFERROR(__xludf.DUMMYFUNCTION("""COMPUTED_VALUE"""),"https://capital.vulcan.com/")</f>
        <v>https://capital.vulcan.com/</v>
      </c>
      <c r="D367" s="1" t="str">
        <f>IFERROR(__xludf.DUMMYFUNCTION("""COMPUTED_VALUE"""),"United States of America")</f>
        <v>United States of America</v>
      </c>
      <c r="E367" s="1"/>
      <c r="F367" s="1" t="str">
        <f>IFERROR(__xludf.DUMMYFUNCTION("""COMPUTED_VALUE"""),"Y")</f>
        <v>Y</v>
      </c>
      <c r="G367" s="1" t="str">
        <f>IFERROR(__xludf.DUMMYFUNCTION("""COMPUTED_VALUE"""),"Y")</f>
        <v>Y</v>
      </c>
      <c r="H367" s="1" t="str">
        <f>IFERROR(__xludf.DUMMYFUNCTION("""COMPUTED_VALUE"""),"Y")</f>
        <v>Y</v>
      </c>
      <c r="I367" s="1" t="str">
        <f>IFERROR(__xludf.DUMMYFUNCTION("""COMPUTED_VALUE"""),"Y")</f>
        <v>Y</v>
      </c>
      <c r="J367" s="1" t="str">
        <f>IFERROR(__xludf.DUMMYFUNCTION("""COMPUTED_VALUE"""),"Y")</f>
        <v>Y</v>
      </c>
      <c r="K367" s="2"/>
      <c r="L367" s="2"/>
      <c r="M367" s="2"/>
      <c r="N367" s="3"/>
      <c r="O367" s="2" t="str">
        <f>IFERROR(__xludf.DUMMYFUNCTION("""COMPUTED_VALUE"""),"Vulcan Capital is the multi-billion dollar investment arm of Microsoft co-founder and philanthropist Paul Allen.")</f>
        <v>Vulcan Capital is the multi-billion dollar investment arm of Microsoft co-founder and philanthropist Paul Allen.</v>
      </c>
      <c r="P367" s="1"/>
      <c r="Q367" s="1">
        <f>IFERROR(__xludf.DUMMYFUNCTION("""COMPUTED_VALUE"""),43833.0)</f>
        <v>43833</v>
      </c>
      <c r="R367" s="1"/>
      <c r="S367" s="1"/>
      <c r="T367" s="1"/>
      <c r="U367" s="1"/>
      <c r="V367" s="1"/>
      <c r="W367" s="1"/>
      <c r="X367" s="1"/>
      <c r="Y367" s="1"/>
      <c r="Z367" s="1"/>
    </row>
    <row r="368">
      <c r="A368" s="1" t="str">
        <f>IFERROR(__xludf.DUMMYFUNCTION("""COMPUTED_VALUE"""),"Wave Accelerator")</f>
        <v>Wave Accelerator</v>
      </c>
      <c r="B368" s="1" t="str">
        <f>IFERROR(__xludf.DUMMYFUNCTION("""COMPUTED_VALUE"""),"Accelerator")</f>
        <v>Accelerator</v>
      </c>
      <c r="C368" s="7" t="str">
        <f>IFERROR(__xludf.DUMMYFUNCTION("""COMPUTED_VALUE"""),"http://waveaccelerator.com/")</f>
        <v>http://waveaccelerator.com/</v>
      </c>
      <c r="D368" s="1" t="str">
        <f>IFERROR(__xludf.DUMMYFUNCTION("""COMPUTED_VALUE"""),"Brazil")</f>
        <v>Brazil</v>
      </c>
      <c r="E368" s="1"/>
      <c r="F368" s="1"/>
      <c r="G368" s="1"/>
      <c r="H368" s="1"/>
      <c r="I368" s="1"/>
      <c r="J368" s="1"/>
      <c r="K368" s="2"/>
      <c r="L368" s="2"/>
      <c r="M368" s="2"/>
      <c r="N368" s="3"/>
      <c r="O368" s="2" t="str">
        <f>IFERROR(__xludf.DUMMYFUNCTION("""COMPUTED_VALUE"""),"Wave Accelerator develops corporate acceleration programs for hubs and large companies and creates startups as a venture builder.")</f>
        <v>Wave Accelerator develops corporate acceleration programs for hubs and large companies and creates startups as a venture builder.</v>
      </c>
      <c r="P368" s="1"/>
      <c r="Q368" s="1"/>
      <c r="R368" s="1"/>
      <c r="S368" s="1"/>
      <c r="T368" s="1"/>
      <c r="U368" s="1"/>
      <c r="V368" s="1"/>
      <c r="W368" s="1"/>
      <c r="X368" s="1"/>
      <c r="Y368" s="1"/>
      <c r="Z368" s="1"/>
    </row>
    <row r="369">
      <c r="A369" s="1" t="str">
        <f>IFERROR(__xludf.DUMMYFUNCTION("""COMPUTED_VALUE"""),"Wayra")</f>
        <v>Wayra</v>
      </c>
      <c r="B369" s="1" t="str">
        <f>IFERROR(__xludf.DUMMYFUNCTION("""COMPUTED_VALUE"""),"Corporate Venture Fund, Corporate Accelerator")</f>
        <v>Corporate Venture Fund, Corporate Accelerator</v>
      </c>
      <c r="C369" s="7" t="str">
        <f>IFERROR(__xludf.DUMMYFUNCTION("""COMPUTED_VALUE"""),"https://hispam.wayra.com/")</f>
        <v>https://hispam.wayra.com/</v>
      </c>
      <c r="D369" s="1" t="str">
        <f>IFERROR(__xludf.DUMMYFUNCTION("""COMPUTED_VALUE"""),"Colombia")</f>
        <v>Colombia</v>
      </c>
      <c r="E369" s="1"/>
      <c r="F369" s="1"/>
      <c r="G369" s="1" t="str">
        <f>IFERROR(__xludf.DUMMYFUNCTION("""COMPUTED_VALUE"""),"Y")</f>
        <v>Y</v>
      </c>
      <c r="H369" s="1"/>
      <c r="I369" s="1"/>
      <c r="J369" s="1"/>
      <c r="K369" s="2"/>
      <c r="L369" s="2"/>
      <c r="M369" s="2"/>
      <c r="N369" s="3"/>
      <c r="O369" s="2" t="str">
        <f>IFERROR(__xludf.DUMMYFUNCTION("""COMPUTED_VALUE"""),"Wayra is a globally connected and technologically open innovation hub.")</f>
        <v>Wayra is a globally connected and technologically open innovation hub.</v>
      </c>
      <c r="P369" s="1"/>
      <c r="Q369" s="1"/>
      <c r="R369" s="1"/>
      <c r="S369" s="1"/>
      <c r="T369" s="1"/>
      <c r="U369" s="1"/>
      <c r="V369" s="1"/>
      <c r="W369" s="1"/>
      <c r="X369" s="1"/>
      <c r="Y369" s="1"/>
      <c r="Z369" s="1"/>
    </row>
    <row r="370">
      <c r="A370" s="1" t="str">
        <f>IFERROR(__xludf.DUMMYFUNCTION("""COMPUTED_VALUE"""),"WBI - Business Innovation")</f>
        <v>WBI - Business Innovation</v>
      </c>
      <c r="B370" s="1" t="str">
        <f>IFERROR(__xludf.DUMMYFUNCTION("""COMPUTED_VALUE"""),"Accelerator")</f>
        <v>Accelerator</v>
      </c>
      <c r="C370" s="7" t="str">
        <f>IFERROR(__xludf.DUMMYFUNCTION("""COMPUTED_VALUE"""),"https://wbinnova.com/")</f>
        <v>https://wbinnova.com/</v>
      </c>
      <c r="D370" s="1" t="str">
        <f>IFERROR(__xludf.DUMMYFUNCTION("""COMPUTED_VALUE"""),"Venezuela")</f>
        <v>Venezuela</v>
      </c>
      <c r="E370" s="1"/>
      <c r="F370" s="1"/>
      <c r="G370" s="1"/>
      <c r="H370" s="1"/>
      <c r="I370" s="1"/>
      <c r="J370" s="1"/>
      <c r="K370" s="2"/>
      <c r="L370" s="2"/>
      <c r="M370" s="2"/>
      <c r="N370" s="3"/>
      <c r="O370" s="2" t="str">
        <f>IFERROR(__xludf.DUMMYFUNCTION("""COMPUTED_VALUE"""),"Our goal is to help you DEVELOP and INNOVATE your business idea. Entrepreneurship - Business Innovation.")</f>
        <v>Our goal is to help you DEVELOP and INNOVATE your business idea. Entrepreneurship - Business Innovation.</v>
      </c>
      <c r="P370" s="1"/>
      <c r="Q370" s="1"/>
      <c r="R370" s="1"/>
      <c r="S370" s="1"/>
      <c r="T370" s="1"/>
      <c r="U370" s="1"/>
      <c r="V370" s="1"/>
      <c r="W370" s="1"/>
      <c r="X370" s="1"/>
      <c r="Y370" s="1"/>
      <c r="Z370" s="1"/>
    </row>
    <row r="371">
      <c r="A371" s="1" t="str">
        <f>IFERROR(__xludf.DUMMYFUNCTION("""COMPUTED_VALUE"""),"WeBoost")</f>
        <v>WeBoost</v>
      </c>
      <c r="B371" s="1" t="str">
        <f>IFERROR(__xludf.DUMMYFUNCTION("""COMPUTED_VALUE"""),"Venture Capital Fund")</f>
        <v>Venture Capital Fund</v>
      </c>
      <c r="C371" s="7" t="str">
        <f>IFERROR(__xludf.DUMMYFUNCTION("""COMPUTED_VALUE"""),"https://weboost.vc/")</f>
        <v>https://weboost.vc/</v>
      </c>
      <c r="D371" s="1" t="str">
        <f>IFERROR(__xludf.DUMMYFUNCTION("""COMPUTED_VALUE"""),"Chile")</f>
        <v>Chile</v>
      </c>
      <c r="E371" s="1" t="str">
        <f>IFERROR(__xludf.DUMMYFUNCTION("""COMPUTED_VALUE"""),"Chile")</f>
        <v>Chile</v>
      </c>
      <c r="F371" s="1"/>
      <c r="G371" s="1"/>
      <c r="H371" s="1"/>
      <c r="I371" s="1"/>
      <c r="J371" s="1"/>
      <c r="K371" s="2" t="str">
        <f>IFERROR(__xludf.DUMMYFUNCTION("""COMPUTED_VALUE"""),"Chile")</f>
        <v>Chile</v>
      </c>
      <c r="L371" s="2"/>
      <c r="M371" s="2"/>
      <c r="N371" s="3"/>
      <c r="O371" s="2" t="str">
        <f>IFERROR(__xludf.DUMMYFUNCTION("""COMPUTED_VALUE"""),"WeBoost, a venture capital firm dedicated solely to find, accelerate &amp; scale local Latin American startups through all the region")</f>
        <v>WeBoost, a venture capital firm dedicated solely to find, accelerate &amp; scale local Latin American startups through all the region</v>
      </c>
      <c r="P371" s="1"/>
      <c r="Q371" s="1"/>
      <c r="R371" s="1"/>
      <c r="S371" s="1"/>
      <c r="T371" s="1"/>
      <c r="U371" s="1"/>
      <c r="V371" s="1"/>
      <c r="W371" s="1"/>
      <c r="X371" s="1"/>
      <c r="Y371" s="1"/>
      <c r="Z371" s="1"/>
    </row>
    <row r="372">
      <c r="A372" s="1" t="str">
        <f>IFERROR(__xludf.DUMMYFUNCTION("""COMPUTED_VALUE"""),"Winnipeg Capital")</f>
        <v>Winnipeg Capital</v>
      </c>
      <c r="B372" s="1" t="str">
        <f>IFERROR(__xludf.DUMMYFUNCTION("""COMPUTED_VALUE"""),"Venture Capital Fund")</f>
        <v>Venture Capital Fund</v>
      </c>
      <c r="C372" s="7" t="str">
        <f>IFERROR(__xludf.DUMMYFUNCTION("""COMPUTED_VALUE"""),"https://www.winnipegcapital.com/")</f>
        <v>https://www.winnipegcapital.com/</v>
      </c>
      <c r="D372" s="1" t="str">
        <f>IFERROR(__xludf.DUMMYFUNCTION("""COMPUTED_VALUE"""),"Peru")</f>
        <v>Peru</v>
      </c>
      <c r="E372" s="1"/>
      <c r="F372" s="1" t="str">
        <f>IFERROR(__xludf.DUMMYFUNCTION("""COMPUTED_VALUE"""),"Y")</f>
        <v>Y</v>
      </c>
      <c r="G372" s="1" t="str">
        <f>IFERROR(__xludf.DUMMYFUNCTION("""COMPUTED_VALUE"""),"Y")</f>
        <v>Y</v>
      </c>
      <c r="H372" s="1"/>
      <c r="I372" s="1"/>
      <c r="J372" s="1"/>
      <c r="K372" s="2"/>
      <c r="L372" s="2" t="str">
        <f>IFERROR(__xludf.DUMMYFUNCTION("""COMPUTED_VALUE"""),"20k-30k")</f>
        <v>20k-30k</v>
      </c>
      <c r="M372" s="2"/>
      <c r="N372" s="3"/>
      <c r="O372" s="2" t="str">
        <f>IFERROR(__xludf.DUMMYFUNCTION("""COMPUTED_VALUE"""),"Winnipeg Capital is an investment and financial services firm, serving emerging companies, institutional investors, and individuals.")</f>
        <v>Winnipeg Capital is an investment and financial services firm, serving emerging companies, institutional investors, and individuals.</v>
      </c>
      <c r="P372" s="1"/>
      <c r="Q372" s="1"/>
      <c r="R372" s="1"/>
      <c r="S372" s="1"/>
      <c r="T372" s="1"/>
      <c r="U372" s="1"/>
      <c r="V372" s="1"/>
      <c r="W372" s="1"/>
      <c r="X372" s="1"/>
      <c r="Y372" s="1"/>
      <c r="Z372" s="1"/>
    </row>
    <row r="373">
      <c r="A373" s="1" t="str">
        <f>IFERROR(__xludf.DUMMYFUNCTION("""COMPUTED_VALUE"""),"Wolfson Group")</f>
        <v>Wolfson Group</v>
      </c>
      <c r="B373" s="1" t="str">
        <f>IFERROR(__xludf.DUMMYFUNCTION("""COMPUTED_VALUE"""),"Family Office (Single)")</f>
        <v>Family Office (Single)</v>
      </c>
      <c r="C373" s="7" t="str">
        <f>IFERROR(__xludf.DUMMYFUNCTION("""COMPUTED_VALUE"""),"http://www.wolfsongroupinc.com/")</f>
        <v>http://www.wolfsongroupinc.com/</v>
      </c>
      <c r="D373" s="1" t="str">
        <f>IFERROR(__xludf.DUMMYFUNCTION("""COMPUTED_VALUE"""),"United States of America")</f>
        <v>United States of America</v>
      </c>
      <c r="E373" s="1"/>
      <c r="F373" s="1"/>
      <c r="G373" s="1" t="str">
        <f>IFERROR(__xludf.DUMMYFUNCTION("""COMPUTED_VALUE"""),"Y")</f>
        <v>Y</v>
      </c>
      <c r="H373" s="1" t="str">
        <f>IFERROR(__xludf.DUMMYFUNCTION("""COMPUTED_VALUE"""),"Y")</f>
        <v>Y</v>
      </c>
      <c r="I373" s="1" t="str">
        <f>IFERROR(__xludf.DUMMYFUNCTION("""COMPUTED_VALUE"""),"Y")</f>
        <v>Y</v>
      </c>
      <c r="J373" s="1"/>
      <c r="K373" s="2"/>
      <c r="L373" s="2"/>
      <c r="M373" s="2"/>
      <c r="N373" s="3"/>
      <c r="O373" s="2" t="str">
        <f>IFERROR(__xludf.DUMMYFUNCTION("""COMPUTED_VALUE"""),"The Wolfson Group is an NYC-based family office that makes highly selective direct investments in unique technology companies.")</f>
        <v>The Wolfson Group is an NYC-based family office that makes highly selective direct investments in unique technology companies.</v>
      </c>
      <c r="P373" s="1"/>
      <c r="Q373" s="1"/>
      <c r="R373" s="1"/>
      <c r="S373" s="1"/>
      <c r="T373" s="1"/>
      <c r="U373" s="1"/>
      <c r="V373" s="1"/>
      <c r="W373" s="1"/>
      <c r="X373" s="1"/>
      <c r="Y373" s="1"/>
      <c r="Z373" s="1"/>
    </row>
    <row r="374">
      <c r="A374" s="1" t="str">
        <f>IFERROR(__xludf.DUMMYFUNCTION("""COMPUTED_VALUE"""),"WOW")</f>
        <v>WOW</v>
      </c>
      <c r="B374" s="1" t="str">
        <f>IFERROR(__xludf.DUMMYFUNCTION("""COMPUTED_VALUE"""),"Accelerator")</f>
        <v>Accelerator</v>
      </c>
      <c r="C374" s="7" t="str">
        <f>IFERROR(__xludf.DUMMYFUNCTION("""COMPUTED_VALUE"""),"https://www.wow.ac/")</f>
        <v>https://www.wow.ac/</v>
      </c>
      <c r="D374" s="1" t="str">
        <f>IFERROR(__xludf.DUMMYFUNCTION("""COMPUTED_VALUE"""),"Brazil")</f>
        <v>Brazil</v>
      </c>
      <c r="E374" s="1"/>
      <c r="F374" s="1" t="str">
        <f>IFERROR(__xludf.DUMMYFUNCTION("""COMPUTED_VALUE"""),"Y")</f>
        <v>Y</v>
      </c>
      <c r="G374" s="1" t="str">
        <f>IFERROR(__xludf.DUMMYFUNCTION("""COMPUTED_VALUE"""),"Y")</f>
        <v>Y</v>
      </c>
      <c r="H374" s="1"/>
      <c r="I374" s="1"/>
      <c r="J374" s="1"/>
      <c r="K374" s="2"/>
      <c r="L374" s="2"/>
      <c r="M374" s="2"/>
      <c r="N374" s="3"/>
      <c r="O374" s="2" t="str">
        <f>IFERROR(__xludf.DUMMYFUNCTION("""COMPUTED_VALUE"""),"WOW connects startups and investors through an accelerated program that combines capital, networking, mentoring and training.")</f>
        <v>WOW connects startups and investors through an accelerated program that combines capital, networking, mentoring and training.</v>
      </c>
      <c r="P374" s="1"/>
      <c r="Q374" s="1"/>
      <c r="R374" s="1"/>
      <c r="S374" s="1"/>
      <c r="T374" s="1"/>
      <c r="U374" s="1"/>
      <c r="V374" s="1"/>
      <c r="W374" s="1"/>
      <c r="X374" s="1"/>
      <c r="Y374" s="1"/>
      <c r="Z374" s="1"/>
    </row>
    <row r="375">
      <c r="A375" s="1" t="str">
        <f>IFERROR(__xludf.DUMMYFUNCTION("""COMPUTED_VALUE"""),"XB Ventures")</f>
        <v>XB Ventures</v>
      </c>
      <c r="B375" s="1" t="str">
        <f>IFERROR(__xludf.DUMMYFUNCTION("""COMPUTED_VALUE"""),"Venture Capital Firm")</f>
        <v>Venture Capital Firm</v>
      </c>
      <c r="C375" s="7" t="str">
        <f>IFERROR(__xludf.DUMMYFUNCTION("""COMPUTED_VALUE"""),"www.xbventures.com/")</f>
        <v>www.xbventures.com/</v>
      </c>
      <c r="D375" s="1" t="str">
        <f>IFERROR(__xludf.DUMMYFUNCTION("""COMPUTED_VALUE"""),"Mexico")</f>
        <v>Mexico</v>
      </c>
      <c r="E375" s="1"/>
      <c r="F375" s="1"/>
      <c r="G375" s="1" t="str">
        <f>IFERROR(__xludf.DUMMYFUNCTION("""COMPUTED_VALUE"""),"Y")</f>
        <v>Y</v>
      </c>
      <c r="H375" s="1"/>
      <c r="I375" s="1"/>
      <c r="J375" s="1"/>
      <c r="K375" s="2"/>
      <c r="L375" s="2"/>
      <c r="M375" s="2"/>
      <c r="N375" s="3"/>
      <c r="O375" s="2" t="str">
        <f>IFERROR(__xludf.DUMMYFUNCTION("""COMPUTED_VALUE"""),"XB Ventures is a venture capital firm focused on investing in innovative leading startups in US, Europe and Asia for which Mexico and Latin America can be a relevant element in their business model. ")</f>
        <v>XB Ventures is a venture capital firm focused on investing in innovative leading startups in US, Europe and Asia for which Mexico and Latin America can be a relevant element in their business model. </v>
      </c>
      <c r="P375" s="1"/>
      <c r="Q375" s="1"/>
      <c r="R375" s="1"/>
      <c r="S375" s="1"/>
      <c r="T375" s="1"/>
      <c r="U375" s="1"/>
      <c r="V375" s="1"/>
      <c r="W375" s="1"/>
      <c r="X375" s="1"/>
      <c r="Y375" s="1"/>
      <c r="Z375" s="1"/>
    </row>
    <row r="376">
      <c r="A376" s="1" t="str">
        <f>IFERROR(__xludf.DUMMYFUNCTION("""COMPUTED_VALUE"""),"Xochi Ventures")</f>
        <v>Xochi Ventures</v>
      </c>
      <c r="B376" s="1" t="str">
        <f>IFERROR(__xludf.DUMMYFUNCTION("""COMPUTED_VALUE"""),"Venture Capital Fund")</f>
        <v>Venture Capital Fund</v>
      </c>
      <c r="C376" s="7" t="str">
        <f>IFERROR(__xludf.DUMMYFUNCTION("""COMPUTED_VALUE"""),"https://www.xochiventures.com/")</f>
        <v>https://www.xochiventures.com/</v>
      </c>
      <c r="D376" s="1" t="str">
        <f>IFERROR(__xludf.DUMMYFUNCTION("""COMPUTED_VALUE"""),"Mexico")</f>
        <v>Mexico</v>
      </c>
      <c r="E376" s="1"/>
      <c r="F376" s="1"/>
      <c r="G376" s="1"/>
      <c r="H376" s="1"/>
      <c r="I376" s="1"/>
      <c r="J376" s="1"/>
      <c r="K376" s="2"/>
      <c r="L376" s="2"/>
      <c r="M376" s="2"/>
      <c r="N376" s="3"/>
      <c r="O376" s="2" t="str">
        <f>IFERROR(__xludf.DUMMYFUNCTION("""COMPUTED_VALUE"""),"Xochi Ventures is a member-led early stage Venture Capital firm focused on investing in innovative companies, making a difference in Latin America and the US.")</f>
        <v>Xochi Ventures is a member-led early stage Venture Capital firm focused on investing in innovative companies, making a difference in Latin America and the US.</v>
      </c>
      <c r="P376" s="1"/>
      <c r="Q376" s="1"/>
      <c r="R376" s="1"/>
      <c r="S376" s="1"/>
      <c r="T376" s="1"/>
      <c r="U376" s="1"/>
      <c r="V376" s="1"/>
      <c r="W376" s="1"/>
      <c r="X376" s="1"/>
      <c r="Y376" s="1"/>
      <c r="Z376" s="1"/>
    </row>
    <row r="377">
      <c r="A377" s="1" t="str">
        <f>IFERROR(__xludf.DUMMYFUNCTION("""COMPUTED_VALUE"""),"Xtraordinary Venture Partners")</f>
        <v>Xtraordinary Venture Partners</v>
      </c>
      <c r="B377" s="1" t="str">
        <f>IFERROR(__xludf.DUMMYFUNCTION("""COMPUTED_VALUE"""),"Investor Network")</f>
        <v>Investor Network</v>
      </c>
      <c r="C377" s="7" t="str">
        <f>IFERROR(__xludf.DUMMYFUNCTION("""COMPUTED_VALUE"""),"https://www.pronetwork.mx/")</f>
        <v>https://www.pronetwork.mx/</v>
      </c>
      <c r="D377" s="1" t="str">
        <f>IFERROR(__xludf.DUMMYFUNCTION("""COMPUTED_VALUE"""),"Mexico")</f>
        <v>Mexico</v>
      </c>
      <c r="E377" s="1" t="str">
        <f>IFERROR(__xludf.DUMMYFUNCTION("""COMPUTED_VALUE"""),"Mexico, Latam")</f>
        <v>Mexico, Latam</v>
      </c>
      <c r="F377" s="1"/>
      <c r="G377" s="1" t="str">
        <f>IFERROR(__xludf.DUMMYFUNCTION("""COMPUTED_VALUE"""),"Y")</f>
        <v>Y</v>
      </c>
      <c r="H377" s="1" t="str">
        <f>IFERROR(__xludf.DUMMYFUNCTION("""COMPUTED_VALUE"""),"Y")</f>
        <v>Y</v>
      </c>
      <c r="I377" s="1"/>
      <c r="J377" s="1"/>
      <c r="K377" s="2" t="str">
        <f>IFERROR(__xludf.DUMMYFUNCTION("""COMPUTED_VALUE"""),"Mexico, Latam")</f>
        <v>Mexico, Latam</v>
      </c>
      <c r="L377" s="2" t="str">
        <f>IFERROR(__xludf.DUMMYFUNCTION("""COMPUTED_VALUE"""),"50k - 300k USD")</f>
        <v>50k - 300k USD</v>
      </c>
      <c r="M377" s="2"/>
      <c r="N377" s="3"/>
      <c r="O377" s="2" t="str">
        <f>IFERROR(__xludf.DUMMYFUNCTION("""COMPUTED_VALUE"""),"Early stage VC investing in Xtraordinary founders building tech-enabled startups in Mexico and broader Latin America")</f>
        <v>Early stage VC investing in Xtraordinary founders building tech-enabled startups in Mexico and broader Latin America</v>
      </c>
      <c r="P377" s="1"/>
      <c r="Q377" s="1"/>
      <c r="R377" s="1"/>
      <c r="S377" s="1"/>
      <c r="T377" s="1"/>
      <c r="U377" s="1"/>
      <c r="V377" s="1"/>
      <c r="W377" s="1"/>
      <c r="X377" s="1"/>
      <c r="Y377" s="1"/>
      <c r="Z377" s="1"/>
    </row>
    <row r="378">
      <c r="A378" s="1" t="str">
        <f>IFERROR(__xludf.DUMMYFUNCTION("""COMPUTED_VALUE"""),"Xylo Capital")</f>
        <v>Xylo Capital</v>
      </c>
      <c r="B378" s="1" t="str">
        <f>IFERROR(__xludf.DUMMYFUNCTION("""COMPUTED_VALUE"""),"Venture Capital Fund")</f>
        <v>Venture Capital Fund</v>
      </c>
      <c r="C378" s="7" t="str">
        <f>IFERROR(__xludf.DUMMYFUNCTION("""COMPUTED_VALUE"""),"https://www.xylocapital.com/")</f>
        <v>https://www.xylocapital.com/</v>
      </c>
      <c r="D378" s="1" t="str">
        <f>IFERROR(__xludf.DUMMYFUNCTION("""COMPUTED_VALUE"""),"Mexico")</f>
        <v>Mexico</v>
      </c>
      <c r="E378" s="1"/>
      <c r="F378" s="1" t="str">
        <f>IFERROR(__xludf.DUMMYFUNCTION("""COMPUTED_VALUE"""),"Y")</f>
        <v>Y</v>
      </c>
      <c r="G378" s="1" t="str">
        <f>IFERROR(__xludf.DUMMYFUNCTION("""COMPUTED_VALUE"""),"Y")</f>
        <v>Y</v>
      </c>
      <c r="H378" s="1"/>
      <c r="I378" s="1"/>
      <c r="J378" s="1"/>
      <c r="K378" s="2"/>
      <c r="L378" s="2"/>
      <c r="M378" s="2"/>
      <c r="N378" s="3"/>
      <c r="O378" s="2" t="str">
        <f>IFERROR(__xludf.DUMMYFUNCTION("""COMPUTED_VALUE"""),"To build a better future we invest our capital, time and energy to help grow seed stage companies in Latin America.")</f>
        <v>To build a better future we invest our capital, time and energy to help grow seed stage companies in Latin America.</v>
      </c>
      <c r="P378" s="1"/>
      <c r="Q378" s="1"/>
      <c r="R378" s="1"/>
      <c r="S378" s="1"/>
      <c r="T378" s="1"/>
      <c r="U378" s="1"/>
      <c r="V378" s="1"/>
      <c r="W378" s="1"/>
      <c r="X378" s="1"/>
      <c r="Y378" s="1"/>
      <c r="Z378" s="1"/>
    </row>
    <row r="379">
      <c r="A379" s="1" t="str">
        <f>IFERROR(__xludf.DUMMYFUNCTION("""COMPUTED_VALUE"""),"Y Combinator")</f>
        <v>Y Combinator</v>
      </c>
      <c r="B379" s="1" t="str">
        <f>IFERROR(__xludf.DUMMYFUNCTION("""COMPUTED_VALUE"""),"Accelerator")</f>
        <v>Accelerator</v>
      </c>
      <c r="C379" s="7" t="str">
        <f>IFERROR(__xludf.DUMMYFUNCTION("""COMPUTED_VALUE"""),"https://www.ycombinator.com/")</f>
        <v>https://www.ycombinator.com/</v>
      </c>
      <c r="D379" s="1" t="str">
        <f>IFERROR(__xludf.DUMMYFUNCTION("""COMPUTED_VALUE"""),"United States of America")</f>
        <v>United States of America</v>
      </c>
      <c r="E379" s="1"/>
      <c r="F379" s="1" t="str">
        <f>IFERROR(__xludf.DUMMYFUNCTION("""COMPUTED_VALUE"""),"Y")</f>
        <v>Y</v>
      </c>
      <c r="G379" s="1" t="str">
        <f>IFERROR(__xludf.DUMMYFUNCTION("""COMPUTED_VALUE"""),"Y")</f>
        <v>Y</v>
      </c>
      <c r="H379" s="1"/>
      <c r="I379" s="1"/>
      <c r="J379" s="1"/>
      <c r="K379" s="2"/>
      <c r="L379" s="2" t="str">
        <f>IFERROR(__xludf.DUMMYFUNCTION("""COMPUTED_VALUE"""),"150k USD")</f>
        <v>150k USD</v>
      </c>
      <c r="M379" s="2"/>
      <c r="N379" s="3"/>
      <c r="O379" s="2" t="str">
        <f>IFERROR(__xludf.DUMMYFUNCTION("""COMPUTED_VALUE"""),"Y Combinator created a new model for funding early stage startups. Twice a year we invest a small amount of money ($150k) in a large number of startups.")</f>
        <v>Y Combinator created a new model for funding early stage startups. Twice a year we invest a small amount of money ($150k) in a large number of startups.</v>
      </c>
      <c r="P379" s="1"/>
      <c r="Q379" s="1"/>
      <c r="R379" s="1"/>
      <c r="S379" s="1"/>
      <c r="T379" s="1"/>
      <c r="U379" s="1"/>
      <c r="V379" s="1"/>
      <c r="W379" s="1"/>
      <c r="X379" s="1"/>
      <c r="Y379" s="1"/>
      <c r="Z379" s="1"/>
    </row>
    <row r="380">
      <c r="A380" s="1" t="str">
        <f>IFERROR(__xludf.DUMMYFUNCTION("""COMPUTED_VALUE"""),"Zigg Capital")</f>
        <v>Zigg Capital</v>
      </c>
      <c r="B380" s="1" t="str">
        <f>IFERROR(__xludf.DUMMYFUNCTION("""COMPUTED_VALUE"""),"Venture Capital Fund")</f>
        <v>Venture Capital Fund</v>
      </c>
      <c r="C380" s="7" t="str">
        <f>IFERROR(__xludf.DUMMYFUNCTION("""COMPUTED_VALUE"""),"https://ziggcap.com/")</f>
        <v>https://ziggcap.com/</v>
      </c>
      <c r="D380" s="1" t="str">
        <f>IFERROR(__xludf.DUMMYFUNCTION("""COMPUTED_VALUE"""),"United States of America")</f>
        <v>United States of America</v>
      </c>
      <c r="E380" s="1"/>
      <c r="F380" s="1" t="str">
        <f>IFERROR(__xludf.DUMMYFUNCTION("""COMPUTED_VALUE"""),"Y")</f>
        <v>Y</v>
      </c>
      <c r="G380" s="1" t="str">
        <f>IFERROR(__xludf.DUMMYFUNCTION("""COMPUTED_VALUE"""),"Y")</f>
        <v>Y</v>
      </c>
      <c r="H380" s="1" t="str">
        <f>IFERROR(__xludf.DUMMYFUNCTION("""COMPUTED_VALUE"""),"Y")</f>
        <v>Y</v>
      </c>
      <c r="I380" s="1" t="str">
        <f>IFERROR(__xludf.DUMMYFUNCTION("""COMPUTED_VALUE"""),"Y")</f>
        <v>Y</v>
      </c>
      <c r="J380" s="1" t="str">
        <f>IFERROR(__xludf.DUMMYFUNCTION("""COMPUTED_VALUE"""),"Y")</f>
        <v>Y</v>
      </c>
      <c r="K380" s="2"/>
      <c r="L380" s="2"/>
      <c r="M380" s="2"/>
      <c r="N380" s="3"/>
      <c r="O380" s="2" t="str">
        <f>IFERROR(__xludf.DUMMYFUNCTION("""COMPUTED_VALUE"""),"Accelerating the combination of real property and technology. Improving the world's quality of life, work, and communities")</f>
        <v>Accelerating the combination of real property and technology. Improving the world's quality of life, work, and communities</v>
      </c>
      <c r="P380" s="1"/>
      <c r="Q380" s="1"/>
      <c r="R380" s="1"/>
      <c r="S380" s="1"/>
      <c r="T380" s="1"/>
      <c r="U380" s="1"/>
      <c r="V380" s="1"/>
      <c r="W380" s="1"/>
      <c r="X380" s="1"/>
      <c r="Y380" s="1"/>
      <c r="Z380" s="1"/>
    </row>
    <row r="381">
      <c r="A381" s="1" t="str">
        <f>IFERROR(__xludf.DUMMYFUNCTION("""COMPUTED_VALUE"""),"Zulu Capital")</f>
        <v>Zulu Capital</v>
      </c>
      <c r="B381" s="1" t="str">
        <f>IFERROR(__xludf.DUMMYFUNCTION("""COMPUTED_VALUE"""),"VC Fund, Venture Builder")</f>
        <v>VC Fund, Venture Builder</v>
      </c>
      <c r="C381" s="7" t="str">
        <f>IFERROR(__xludf.DUMMYFUNCTION("""COMPUTED_VALUE"""),"http://zulu.vc/")</f>
        <v>http://zulu.vc/</v>
      </c>
      <c r="D381" s="1" t="str">
        <f>IFERROR(__xludf.DUMMYFUNCTION("""COMPUTED_VALUE"""),"Mexico")</f>
        <v>Mexico</v>
      </c>
      <c r="E381" s="1"/>
      <c r="F381" s="1"/>
      <c r="G381" s="1" t="str">
        <f>IFERROR(__xludf.DUMMYFUNCTION("""COMPUTED_VALUE"""),"Y")</f>
        <v>Y</v>
      </c>
      <c r="H381" s="1"/>
      <c r="I381" s="1"/>
      <c r="J381" s="1"/>
      <c r="K381" s="2"/>
      <c r="L381" s="2"/>
      <c r="M381" s="2"/>
      <c r="N381" s="3"/>
      <c r="O381" s="2" t="str">
        <f>IFERROR(__xludf.DUMMYFUNCTION("""COMPUTED_VALUE"""),"Zulu is an early stage investment fund and company builder based in the heart of México’s Silicon Valley, Guadalajara")</f>
        <v>Zulu is an early stage investment fund and company builder based in the heart of México’s Silicon Valley, Guadalajara</v>
      </c>
      <c r="P381" s="1"/>
      <c r="Q381" s="1"/>
      <c r="R381" s="1"/>
      <c r="S381" s="1"/>
      <c r="T381" s="1"/>
      <c r="U381" s="1"/>
      <c r="V381" s="1"/>
      <c r="W381" s="1"/>
      <c r="X381" s="1"/>
      <c r="Y381" s="1"/>
      <c r="Z381" s="1"/>
    </row>
    <row r="382">
      <c r="A382" s="1" t="str">
        <f>IFERROR(__xludf.DUMMYFUNCTION("""COMPUTED_VALUE"""),"Zuma Capital")</f>
        <v>Zuma Capital</v>
      </c>
      <c r="B382" s="1" t="str">
        <f>IFERROR(__xludf.DUMMYFUNCTION("""COMPUTED_VALUE"""),"Venture Capital Fund")</f>
        <v>Venture Capital Fund</v>
      </c>
      <c r="C382" s="7" t="str">
        <f>IFERROR(__xludf.DUMMYFUNCTION("""COMPUTED_VALUE"""),"http://zumacapital.mx/")</f>
        <v>http://zumacapital.mx/</v>
      </c>
      <c r="D382" s="1" t="str">
        <f>IFERROR(__xludf.DUMMYFUNCTION("""COMPUTED_VALUE"""),"Mexico")</f>
        <v>Mexico</v>
      </c>
      <c r="E382" s="1" t="str">
        <f>IFERROR(__xludf.DUMMYFUNCTION("""COMPUTED_VALUE"""),"Chihuahua")</f>
        <v>Chihuahua</v>
      </c>
      <c r="F382" s="1"/>
      <c r="G382" s="1"/>
      <c r="H382" s="1"/>
      <c r="I382" s="1"/>
      <c r="J382" s="1"/>
      <c r="K382" s="2" t="str">
        <f>IFERROR(__xludf.DUMMYFUNCTION("""COMPUTED_VALUE"""),"Chihuahua")</f>
        <v>Chihuahua</v>
      </c>
      <c r="L382" s="2" t="str">
        <f>IFERROR(__xludf.DUMMYFUNCTION("""COMPUTED_VALUE"""),"50k - 300k USD")</f>
        <v>50k - 300k USD</v>
      </c>
      <c r="M382" s="2"/>
      <c r="N382" s="3">
        <f>IFERROR(__xludf.DUMMYFUNCTION("""COMPUTED_VALUE"""),1750000.0)</f>
        <v>1750000</v>
      </c>
      <c r="O382" s="2" t="str">
        <f>IFERROR(__xludf.DUMMYFUNCTION("""COMPUTED_VALUE"""),"Investment and support to consolidated companies in growth stage. Together we drive your growth.")</f>
        <v>Investment and support to consolidated companies in growth stage. Together we drive your growth.</v>
      </c>
      <c r="P382" s="1"/>
      <c r="Q382" s="1"/>
      <c r="R382" s="1"/>
      <c r="S382" s="1"/>
      <c r="T382" s="1"/>
      <c r="U382" s="1"/>
      <c r="V382" s="1"/>
      <c r="W382" s="1"/>
      <c r="X382" s="1"/>
      <c r="Y382" s="1"/>
      <c r="Z382" s="1"/>
    </row>
    <row r="383">
      <c r="A383" s="1" t="str">
        <f>IFERROR(__xludf.DUMMYFUNCTION("""COMPUTED_VALUE"""),"ZX Ventures")</f>
        <v>ZX Ventures</v>
      </c>
      <c r="B383" s="1" t="str">
        <f>IFERROR(__xludf.DUMMYFUNCTION("""COMPUTED_VALUE"""),"Corporate Venture Capital Fund")</f>
        <v>Corporate Venture Capital Fund</v>
      </c>
      <c r="C383" s="7" t="str">
        <f>IFERROR(__xludf.DUMMYFUNCTION("""COMPUTED_VALUE"""),"https://zx-ventures.com/ ")</f>
        <v>https://zx-ventures.com/ </v>
      </c>
      <c r="D383" s="1" t="str">
        <f>IFERROR(__xludf.DUMMYFUNCTION("""COMPUTED_VALUE"""),"United States of America")</f>
        <v>United States of America</v>
      </c>
      <c r="E383" s="1"/>
      <c r="F383" s="1"/>
      <c r="G383" s="1"/>
      <c r="H383" s="1"/>
      <c r="I383" s="1"/>
      <c r="J383" s="1"/>
      <c r="K383" s="2"/>
      <c r="L383" s="2"/>
      <c r="M383" s="2"/>
      <c r="N383" s="3"/>
      <c r="O383" s="2" t="str">
        <f>IFERROR(__xludf.DUMMYFUNCTION("""COMPUTED_VALUE"""),"ZX Ventures is a venture capital fund (backed by Anheuser-Busch InBev) focused on innovation in/around the beverage category.")</f>
        <v>ZX Ventures is a venture capital fund (backed by Anheuser-Busch InBev) focused on innovation in/around the beverage category.</v>
      </c>
      <c r="P383" s="1"/>
      <c r="Q383" s="1"/>
      <c r="R383" s="1"/>
      <c r="S383" s="1"/>
      <c r="T383" s="1"/>
      <c r="U383" s="1"/>
      <c r="V383" s="1"/>
      <c r="W383" s="1"/>
      <c r="X383" s="1"/>
      <c r="Y383" s="1"/>
      <c r="Z383" s="1"/>
    </row>
    <row r="384">
      <c r="A384" s="1"/>
      <c r="B384" s="1"/>
      <c r="C384" s="1"/>
      <c r="D384" s="1"/>
      <c r="E384" s="1"/>
      <c r="F384" s="1"/>
      <c r="G384" s="1"/>
      <c r="H384" s="1"/>
      <c r="I384" s="1"/>
      <c r="J384" s="1"/>
      <c r="K384" s="2"/>
      <c r="L384" s="2"/>
      <c r="M384" s="2"/>
      <c r="N384" s="3"/>
      <c r="O384" s="2"/>
      <c r="P384" s="1"/>
      <c r="Q384" s="1"/>
      <c r="R384" s="1"/>
      <c r="S384" s="1"/>
      <c r="T384" s="1"/>
      <c r="U384" s="1"/>
      <c r="V384" s="1"/>
      <c r="W384" s="1"/>
      <c r="X384" s="1"/>
      <c r="Y384" s="1"/>
      <c r="Z384" s="1"/>
    </row>
    <row r="385">
      <c r="A385" s="1"/>
      <c r="B385" s="1"/>
      <c r="C385" s="1"/>
      <c r="D385" s="1"/>
      <c r="E385" s="1"/>
      <c r="F385" s="1"/>
      <c r="G385" s="1"/>
      <c r="H385" s="1"/>
      <c r="I385" s="1"/>
      <c r="J385" s="1"/>
      <c r="K385" s="2"/>
      <c r="L385" s="2"/>
      <c r="M385" s="2"/>
      <c r="N385" s="3"/>
      <c r="O385" s="2"/>
      <c r="P385" s="1"/>
      <c r="Q385" s="1"/>
      <c r="R385" s="1"/>
      <c r="S385" s="1"/>
      <c r="T385" s="1"/>
      <c r="U385" s="1"/>
      <c r="V385" s="1"/>
      <c r="W385" s="1"/>
      <c r="X385" s="1"/>
      <c r="Y385" s="1"/>
      <c r="Z385" s="1"/>
    </row>
    <row r="386">
      <c r="A386" s="1"/>
      <c r="B386" s="1"/>
      <c r="C386" s="1"/>
      <c r="D386" s="1"/>
      <c r="E386" s="1"/>
      <c r="F386" s="1"/>
      <c r="G386" s="1"/>
      <c r="H386" s="1"/>
      <c r="I386" s="1"/>
      <c r="J386" s="1"/>
      <c r="K386" s="2"/>
      <c r="L386" s="2"/>
      <c r="M386" s="2"/>
      <c r="N386" s="3"/>
      <c r="O386" s="2"/>
      <c r="P386" s="1"/>
      <c r="Q386" s="1"/>
      <c r="R386" s="1"/>
      <c r="S386" s="1"/>
      <c r="T386" s="1"/>
      <c r="U386" s="1"/>
      <c r="V386" s="1"/>
      <c r="W386" s="1"/>
      <c r="X386" s="1"/>
      <c r="Y386" s="1"/>
      <c r="Z386" s="1"/>
    </row>
    <row r="387">
      <c r="A387" s="1"/>
      <c r="B387" s="1"/>
      <c r="C387" s="1"/>
      <c r="D387" s="1"/>
      <c r="E387" s="1"/>
      <c r="F387" s="1"/>
      <c r="G387" s="1"/>
      <c r="H387" s="1"/>
      <c r="I387" s="1"/>
      <c r="J387" s="1"/>
      <c r="K387" s="2"/>
      <c r="L387" s="2"/>
      <c r="M387" s="2"/>
      <c r="N387" s="3"/>
      <c r="O387" s="2"/>
      <c r="P387" s="1"/>
      <c r="Q387" s="1"/>
      <c r="R387" s="1"/>
      <c r="S387" s="1"/>
      <c r="T387" s="1"/>
      <c r="U387" s="1"/>
      <c r="V387" s="1"/>
      <c r="W387" s="1"/>
      <c r="X387" s="1"/>
      <c r="Y387" s="1"/>
      <c r="Z387" s="1"/>
    </row>
    <row r="388">
      <c r="A388" s="1"/>
      <c r="B388" s="1"/>
      <c r="C388" s="1"/>
      <c r="D388" s="1"/>
      <c r="E388" s="1"/>
      <c r="F388" s="1"/>
      <c r="G388" s="1"/>
      <c r="H388" s="1"/>
      <c r="I388" s="1"/>
      <c r="J388" s="1"/>
      <c r="K388" s="2"/>
      <c r="L388" s="2"/>
      <c r="M388" s="2"/>
      <c r="N388" s="3"/>
      <c r="O388" s="2"/>
      <c r="P388" s="1"/>
      <c r="Q388" s="1"/>
      <c r="R388" s="1"/>
      <c r="S388" s="1"/>
      <c r="T388" s="1"/>
      <c r="U388" s="1"/>
      <c r="V388" s="1"/>
      <c r="W388" s="1"/>
      <c r="X388" s="1"/>
      <c r="Y388" s="1"/>
      <c r="Z388" s="1"/>
    </row>
    <row r="389">
      <c r="A389" s="1"/>
      <c r="B389" s="1"/>
      <c r="C389" s="1"/>
      <c r="D389" s="1"/>
      <c r="E389" s="1"/>
      <c r="F389" s="1"/>
      <c r="G389" s="1"/>
      <c r="H389" s="1"/>
      <c r="I389" s="1"/>
      <c r="J389" s="1"/>
      <c r="K389" s="2"/>
      <c r="L389" s="2"/>
      <c r="M389" s="2"/>
      <c r="N389" s="3"/>
      <c r="O389" s="2"/>
      <c r="P389" s="1"/>
      <c r="Q389" s="1"/>
      <c r="R389" s="1"/>
      <c r="S389" s="1"/>
      <c r="T389" s="1"/>
      <c r="U389" s="1"/>
      <c r="V389" s="1"/>
      <c r="W389" s="1"/>
      <c r="X389" s="1"/>
      <c r="Y389" s="1"/>
      <c r="Z389" s="1"/>
    </row>
    <row r="390">
      <c r="A390" s="1"/>
      <c r="B390" s="1"/>
      <c r="C390" s="1"/>
      <c r="D390" s="1"/>
      <c r="E390" s="1"/>
      <c r="F390" s="1"/>
      <c r="G390" s="1"/>
      <c r="H390" s="1"/>
      <c r="I390" s="1"/>
      <c r="J390" s="1"/>
      <c r="K390" s="2"/>
      <c r="L390" s="2"/>
      <c r="M390" s="2"/>
      <c r="N390" s="3"/>
      <c r="O390" s="2"/>
      <c r="P390" s="1"/>
      <c r="Q390" s="1"/>
      <c r="R390" s="1"/>
      <c r="S390" s="1"/>
      <c r="T390" s="1"/>
      <c r="U390" s="1"/>
      <c r="V390" s="1"/>
      <c r="W390" s="1"/>
      <c r="X390" s="1"/>
      <c r="Y390" s="1"/>
      <c r="Z390" s="1"/>
    </row>
    <row r="391">
      <c r="A391" s="1"/>
      <c r="B391" s="1"/>
      <c r="C391" s="1"/>
      <c r="D391" s="1"/>
      <c r="E391" s="1"/>
      <c r="F391" s="1"/>
      <c r="G391" s="1"/>
      <c r="H391" s="1"/>
      <c r="I391" s="1"/>
      <c r="J391" s="1"/>
      <c r="K391" s="2"/>
      <c r="L391" s="2"/>
      <c r="M391" s="2"/>
      <c r="N391" s="3"/>
      <c r="O391" s="2"/>
      <c r="P391" s="1"/>
      <c r="Q391" s="1"/>
      <c r="R391" s="1"/>
      <c r="S391" s="1"/>
      <c r="T391" s="1"/>
      <c r="U391" s="1"/>
      <c r="V391" s="1"/>
      <c r="W391" s="1"/>
      <c r="X391" s="1"/>
      <c r="Y391" s="1"/>
      <c r="Z391" s="1"/>
    </row>
    <row r="392">
      <c r="A392" s="1"/>
      <c r="B392" s="1"/>
      <c r="C392" s="1"/>
      <c r="D392" s="1"/>
      <c r="E392" s="1"/>
      <c r="F392" s="1"/>
      <c r="G392" s="1"/>
      <c r="H392" s="1"/>
      <c r="I392" s="1"/>
      <c r="J392" s="1"/>
      <c r="K392" s="2"/>
      <c r="L392" s="2"/>
      <c r="M392" s="2"/>
      <c r="N392" s="3"/>
      <c r="O392" s="2"/>
      <c r="P392" s="1"/>
      <c r="Q392" s="1"/>
      <c r="R392" s="1"/>
      <c r="S392" s="1"/>
      <c r="T392" s="1"/>
      <c r="U392" s="1"/>
      <c r="V392" s="1"/>
      <c r="W392" s="1"/>
      <c r="X392" s="1"/>
      <c r="Y392" s="1"/>
      <c r="Z392" s="1"/>
    </row>
    <row r="393">
      <c r="A393" s="1"/>
      <c r="B393" s="1"/>
      <c r="C393" s="1"/>
      <c r="D393" s="1"/>
      <c r="E393" s="1"/>
      <c r="F393" s="1"/>
      <c r="G393" s="1"/>
      <c r="H393" s="1"/>
      <c r="I393" s="1"/>
      <c r="J393" s="1"/>
      <c r="K393" s="2"/>
      <c r="L393" s="2"/>
      <c r="M393" s="2"/>
      <c r="N393" s="3"/>
      <c r="O393" s="2"/>
      <c r="P393" s="1"/>
      <c r="Q393" s="1"/>
      <c r="R393" s="1"/>
      <c r="S393" s="1"/>
      <c r="T393" s="1"/>
      <c r="U393" s="1"/>
      <c r="V393" s="1"/>
      <c r="W393" s="1"/>
      <c r="X393" s="1"/>
      <c r="Y393" s="1"/>
      <c r="Z393" s="1"/>
    </row>
    <row r="394">
      <c r="A394" s="1"/>
      <c r="B394" s="1"/>
      <c r="C394" s="1"/>
      <c r="D394" s="1"/>
      <c r="E394" s="1"/>
      <c r="F394" s="1"/>
      <c r="G394" s="1"/>
      <c r="H394" s="1"/>
      <c r="I394" s="1"/>
      <c r="J394" s="1"/>
      <c r="K394" s="2"/>
      <c r="L394" s="2"/>
      <c r="M394" s="2"/>
      <c r="N394" s="3"/>
      <c r="O394" s="2"/>
      <c r="P394" s="1"/>
      <c r="Q394" s="1"/>
      <c r="R394" s="1"/>
      <c r="S394" s="1"/>
      <c r="T394" s="1"/>
      <c r="U394" s="1"/>
      <c r="V394" s="1"/>
      <c r="W394" s="1"/>
      <c r="X394" s="1"/>
      <c r="Y394" s="1"/>
      <c r="Z394" s="1"/>
    </row>
    <row r="395">
      <c r="A395" s="1"/>
      <c r="B395" s="1"/>
      <c r="C395" s="1"/>
      <c r="D395" s="1"/>
      <c r="E395" s="1"/>
      <c r="F395" s="1"/>
      <c r="G395" s="1"/>
      <c r="H395" s="1"/>
      <c r="I395" s="1"/>
      <c r="J395" s="1"/>
      <c r="K395" s="2"/>
      <c r="L395" s="2"/>
      <c r="M395" s="2"/>
      <c r="N395" s="3"/>
      <c r="O395" s="2"/>
      <c r="P395" s="1"/>
      <c r="Q395" s="1"/>
      <c r="R395" s="1"/>
      <c r="S395" s="1"/>
      <c r="T395" s="1"/>
      <c r="U395" s="1"/>
      <c r="V395" s="1"/>
      <c r="W395" s="1"/>
      <c r="X395" s="1"/>
      <c r="Y395" s="1"/>
      <c r="Z395" s="1"/>
    </row>
    <row r="396">
      <c r="A396" s="1"/>
      <c r="B396" s="1"/>
      <c r="C396" s="1"/>
      <c r="D396" s="1"/>
      <c r="E396" s="1"/>
      <c r="F396" s="1"/>
      <c r="G396" s="1"/>
      <c r="H396" s="1"/>
      <c r="I396" s="1"/>
      <c r="J396" s="1"/>
      <c r="K396" s="2"/>
      <c r="L396" s="2"/>
      <c r="M396" s="2"/>
      <c r="N396" s="3"/>
      <c r="O396" s="2"/>
      <c r="P396" s="1"/>
      <c r="Q396" s="1"/>
      <c r="R396" s="1"/>
      <c r="S396" s="1"/>
      <c r="T396" s="1"/>
      <c r="U396" s="1"/>
      <c r="V396" s="1"/>
      <c r="W396" s="1"/>
      <c r="X396" s="1"/>
      <c r="Y396" s="1"/>
      <c r="Z396" s="1"/>
    </row>
    <row r="397">
      <c r="A397" s="1"/>
      <c r="B397" s="1"/>
      <c r="C397" s="1"/>
      <c r="D397" s="1"/>
      <c r="E397" s="1"/>
      <c r="F397" s="1"/>
      <c r="G397" s="1"/>
      <c r="H397" s="1"/>
      <c r="I397" s="1"/>
      <c r="J397" s="1"/>
      <c r="K397" s="2"/>
      <c r="L397" s="2"/>
      <c r="M397" s="2"/>
      <c r="N397" s="3"/>
      <c r="O397" s="2"/>
      <c r="P397" s="1"/>
      <c r="Q397" s="1"/>
      <c r="R397" s="1"/>
      <c r="S397" s="1"/>
      <c r="T397" s="1"/>
      <c r="U397" s="1"/>
      <c r="V397" s="1"/>
      <c r="W397" s="1"/>
      <c r="X397" s="1"/>
      <c r="Y397" s="1"/>
      <c r="Z397" s="1"/>
    </row>
    <row r="398">
      <c r="A398" s="1"/>
      <c r="B398" s="1"/>
      <c r="C398" s="1"/>
      <c r="D398" s="1"/>
      <c r="E398" s="1"/>
      <c r="F398" s="1"/>
      <c r="G398" s="1"/>
      <c r="H398" s="1"/>
      <c r="I398" s="1"/>
      <c r="J398" s="1"/>
      <c r="K398" s="2"/>
      <c r="L398" s="2"/>
      <c r="M398" s="2"/>
      <c r="N398" s="3"/>
      <c r="O398" s="2"/>
      <c r="P398" s="1"/>
      <c r="Q398" s="1"/>
      <c r="R398" s="1"/>
      <c r="S398" s="1"/>
      <c r="T398" s="1"/>
      <c r="U398" s="1"/>
      <c r="V398" s="1"/>
      <c r="W398" s="1"/>
      <c r="X398" s="1"/>
      <c r="Y398" s="1"/>
      <c r="Z398" s="1"/>
    </row>
    <row r="399">
      <c r="A399" s="1"/>
      <c r="B399" s="1"/>
      <c r="C399" s="1"/>
      <c r="D399" s="1"/>
      <c r="E399" s="1"/>
      <c r="F399" s="1"/>
      <c r="G399" s="1"/>
      <c r="H399" s="1"/>
      <c r="I399" s="1"/>
      <c r="J399" s="1"/>
      <c r="K399" s="2"/>
      <c r="L399" s="2"/>
      <c r="M399" s="2"/>
      <c r="N399" s="3"/>
      <c r="O399" s="2"/>
      <c r="P399" s="1"/>
      <c r="Q399" s="1"/>
      <c r="R399" s="1"/>
      <c r="S399" s="1"/>
      <c r="T399" s="1"/>
      <c r="U399" s="1"/>
      <c r="V399" s="1"/>
      <c r="W399" s="1"/>
      <c r="X399" s="1"/>
      <c r="Y399" s="1"/>
      <c r="Z399" s="1"/>
    </row>
    <row r="400">
      <c r="A400" s="1"/>
      <c r="B400" s="1"/>
      <c r="C400" s="1"/>
      <c r="D400" s="1"/>
      <c r="E400" s="1"/>
      <c r="F400" s="1"/>
      <c r="G400" s="1"/>
      <c r="H400" s="1"/>
      <c r="I400" s="1"/>
      <c r="J400" s="1"/>
      <c r="K400" s="2"/>
      <c r="L400" s="2"/>
      <c r="M400" s="2"/>
      <c r="N400" s="3"/>
      <c r="O400" s="2"/>
      <c r="P400" s="1"/>
      <c r="Q400" s="1"/>
      <c r="R400" s="1"/>
      <c r="S400" s="1"/>
      <c r="T400" s="1"/>
      <c r="U400" s="1"/>
      <c r="V400" s="1"/>
      <c r="W400" s="1"/>
      <c r="X400" s="1"/>
      <c r="Y400" s="1"/>
      <c r="Z400" s="1"/>
    </row>
    <row r="401">
      <c r="A401" s="1"/>
      <c r="B401" s="1"/>
      <c r="C401" s="1"/>
      <c r="D401" s="1"/>
      <c r="E401" s="1"/>
      <c r="F401" s="1"/>
      <c r="G401" s="1"/>
      <c r="H401" s="1"/>
      <c r="I401" s="1"/>
      <c r="J401" s="1"/>
      <c r="K401" s="2"/>
      <c r="L401" s="2"/>
      <c r="M401" s="2"/>
      <c r="N401" s="3"/>
      <c r="O401" s="2"/>
      <c r="P401" s="1"/>
      <c r="Q401" s="1"/>
      <c r="R401" s="1"/>
      <c r="S401" s="1"/>
      <c r="T401" s="1"/>
      <c r="U401" s="1"/>
      <c r="V401" s="1"/>
      <c r="W401" s="1"/>
      <c r="X401" s="1"/>
      <c r="Y401" s="1"/>
      <c r="Z401" s="1"/>
    </row>
    <row r="402">
      <c r="A402" s="1"/>
      <c r="B402" s="1"/>
      <c r="C402" s="1"/>
      <c r="D402" s="1"/>
      <c r="E402" s="1"/>
      <c r="F402" s="1"/>
      <c r="G402" s="1"/>
      <c r="H402" s="1"/>
      <c r="I402" s="1"/>
      <c r="J402" s="1"/>
      <c r="K402" s="2"/>
      <c r="L402" s="2"/>
      <c r="M402" s="2"/>
      <c r="N402" s="3"/>
      <c r="O402" s="2"/>
      <c r="P402" s="1"/>
      <c r="Q402" s="1"/>
      <c r="R402" s="1"/>
      <c r="S402" s="1"/>
      <c r="T402" s="1"/>
      <c r="U402" s="1"/>
      <c r="V402" s="1"/>
      <c r="W402" s="1"/>
      <c r="X402" s="1"/>
      <c r="Y402" s="1"/>
      <c r="Z402" s="1"/>
    </row>
    <row r="403">
      <c r="A403" s="1"/>
      <c r="B403" s="1"/>
      <c r="C403" s="1"/>
      <c r="D403" s="1"/>
      <c r="E403" s="1"/>
      <c r="F403" s="1"/>
      <c r="G403" s="1"/>
      <c r="H403" s="1"/>
      <c r="I403" s="1"/>
      <c r="J403" s="1"/>
      <c r="K403" s="2"/>
      <c r="L403" s="2"/>
      <c r="M403" s="2"/>
      <c r="N403" s="3"/>
      <c r="O403" s="2"/>
      <c r="P403" s="1"/>
      <c r="Q403" s="1"/>
      <c r="R403" s="1"/>
      <c r="S403" s="1"/>
      <c r="T403" s="1"/>
      <c r="U403" s="1"/>
      <c r="V403" s="1"/>
      <c r="W403" s="1"/>
      <c r="X403" s="1"/>
      <c r="Y403" s="1"/>
      <c r="Z403" s="1"/>
    </row>
    <row r="404">
      <c r="A404" s="1"/>
      <c r="B404" s="1"/>
      <c r="C404" s="1"/>
      <c r="D404" s="1"/>
      <c r="E404" s="1"/>
      <c r="F404" s="1"/>
      <c r="G404" s="1"/>
      <c r="H404" s="1"/>
      <c r="I404" s="1"/>
      <c r="J404" s="1"/>
      <c r="K404" s="2"/>
      <c r="L404" s="2"/>
      <c r="M404" s="2"/>
      <c r="N404" s="3"/>
      <c r="O404" s="2"/>
      <c r="P404" s="1"/>
      <c r="Q404" s="1"/>
      <c r="R404" s="1"/>
      <c r="S404" s="1"/>
      <c r="T404" s="1"/>
      <c r="U404" s="1"/>
      <c r="V404" s="1"/>
      <c r="W404" s="1"/>
      <c r="X404" s="1"/>
      <c r="Y404" s="1"/>
      <c r="Z404" s="1"/>
    </row>
    <row r="405">
      <c r="A405" s="1"/>
      <c r="B405" s="1"/>
      <c r="C405" s="1"/>
      <c r="D405" s="1"/>
      <c r="E405" s="1"/>
      <c r="F405" s="1"/>
      <c r="G405" s="1"/>
      <c r="H405" s="1"/>
      <c r="I405" s="1"/>
      <c r="J405" s="1"/>
      <c r="K405" s="2"/>
      <c r="L405" s="2"/>
      <c r="M405" s="2"/>
      <c r="N405" s="3"/>
      <c r="O405" s="2"/>
      <c r="P405" s="1"/>
      <c r="Q405" s="1"/>
      <c r="R405" s="1"/>
      <c r="S405" s="1"/>
      <c r="T405" s="1"/>
      <c r="U405" s="1"/>
      <c r="V405" s="1"/>
      <c r="W405" s="1"/>
      <c r="X405" s="1"/>
      <c r="Y405" s="1"/>
      <c r="Z405" s="1"/>
    </row>
    <row r="406">
      <c r="A406" s="1"/>
      <c r="B406" s="1"/>
      <c r="C406" s="1"/>
      <c r="D406" s="1"/>
      <c r="E406" s="1"/>
      <c r="F406" s="1"/>
      <c r="G406" s="1"/>
      <c r="H406" s="1"/>
      <c r="I406" s="1"/>
      <c r="J406" s="1"/>
      <c r="K406" s="2"/>
      <c r="L406" s="2"/>
      <c r="M406" s="2"/>
      <c r="N406" s="3"/>
      <c r="O406" s="2"/>
      <c r="P406" s="1"/>
      <c r="Q406" s="1"/>
      <c r="R406" s="1"/>
      <c r="S406" s="1"/>
      <c r="T406" s="1"/>
      <c r="U406" s="1"/>
      <c r="V406" s="1"/>
      <c r="W406" s="1"/>
      <c r="X406" s="1"/>
      <c r="Y406" s="1"/>
      <c r="Z406" s="1"/>
    </row>
    <row r="407">
      <c r="A407" s="1"/>
      <c r="B407" s="1"/>
      <c r="C407" s="1"/>
      <c r="D407" s="1"/>
      <c r="E407" s="1"/>
      <c r="F407" s="1"/>
      <c r="G407" s="1"/>
      <c r="H407" s="1"/>
      <c r="I407" s="1"/>
      <c r="J407" s="1"/>
      <c r="K407" s="2"/>
      <c r="L407" s="2"/>
      <c r="M407" s="2"/>
      <c r="N407" s="3"/>
      <c r="O407" s="2"/>
      <c r="P407" s="1"/>
      <c r="Q407" s="1"/>
      <c r="R407" s="1"/>
      <c r="S407" s="1"/>
      <c r="T407" s="1"/>
      <c r="U407" s="1"/>
      <c r="V407" s="1"/>
      <c r="W407" s="1"/>
      <c r="X407" s="1"/>
      <c r="Y407" s="1"/>
      <c r="Z407" s="1"/>
    </row>
    <row r="408">
      <c r="A408" s="1"/>
      <c r="B408" s="1"/>
      <c r="C408" s="1"/>
      <c r="D408" s="1"/>
      <c r="E408" s="1"/>
      <c r="F408" s="1"/>
      <c r="G408" s="1"/>
      <c r="H408" s="1"/>
      <c r="I408" s="1"/>
      <c r="J408" s="1"/>
      <c r="K408" s="2"/>
      <c r="L408" s="2"/>
      <c r="M408" s="2"/>
      <c r="N408" s="3"/>
      <c r="O408" s="2"/>
      <c r="P408" s="1"/>
      <c r="Q408" s="1"/>
      <c r="R408" s="1"/>
      <c r="S408" s="1"/>
      <c r="T408" s="1"/>
      <c r="U408" s="1"/>
      <c r="V408" s="1"/>
      <c r="W408" s="1"/>
      <c r="X408" s="1"/>
      <c r="Y408" s="1"/>
      <c r="Z408" s="1"/>
    </row>
    <row r="409">
      <c r="A409" s="1"/>
      <c r="B409" s="1"/>
      <c r="C409" s="1"/>
      <c r="D409" s="1"/>
      <c r="E409" s="1"/>
      <c r="F409" s="1"/>
      <c r="G409" s="1"/>
      <c r="H409" s="1"/>
      <c r="I409" s="1"/>
      <c r="J409" s="1"/>
      <c r="K409" s="2"/>
      <c r="L409" s="2"/>
      <c r="M409" s="2"/>
      <c r="N409" s="3"/>
      <c r="O409" s="2"/>
      <c r="P409" s="1"/>
      <c r="Q409" s="1"/>
      <c r="R409" s="1"/>
      <c r="S409" s="1"/>
      <c r="T409" s="1"/>
      <c r="U409" s="1"/>
      <c r="V409" s="1"/>
      <c r="W409" s="1"/>
      <c r="X409" s="1"/>
      <c r="Y409" s="1"/>
      <c r="Z409" s="1"/>
    </row>
    <row r="410">
      <c r="A410" s="1"/>
      <c r="B410" s="1"/>
      <c r="C410" s="1"/>
      <c r="D410" s="1"/>
      <c r="E410" s="1"/>
      <c r="F410" s="1"/>
      <c r="G410" s="1"/>
      <c r="H410" s="1"/>
      <c r="I410" s="1"/>
      <c r="J410" s="1"/>
      <c r="K410" s="2"/>
      <c r="L410" s="2"/>
      <c r="M410" s="2"/>
      <c r="N410" s="3"/>
      <c r="O410" s="2"/>
      <c r="P410" s="1"/>
      <c r="Q410" s="1"/>
      <c r="R410" s="1"/>
      <c r="S410" s="1"/>
      <c r="T410" s="1"/>
      <c r="U410" s="1"/>
      <c r="V410" s="1"/>
      <c r="W410" s="1"/>
      <c r="X410" s="1"/>
      <c r="Y410" s="1"/>
      <c r="Z410" s="1"/>
    </row>
    <row r="411">
      <c r="A411" s="1"/>
      <c r="B411" s="1"/>
      <c r="C411" s="1"/>
      <c r="D411" s="1"/>
      <c r="E411" s="1"/>
      <c r="F411" s="1"/>
      <c r="G411" s="1"/>
      <c r="H411" s="1"/>
      <c r="I411" s="1"/>
      <c r="J411" s="1"/>
      <c r="K411" s="2"/>
      <c r="L411" s="2"/>
      <c r="M411" s="2"/>
      <c r="N411" s="3"/>
      <c r="O411" s="2"/>
      <c r="P411" s="1"/>
      <c r="Q411" s="1"/>
      <c r="R411" s="1"/>
      <c r="S411" s="1"/>
      <c r="T411" s="1"/>
      <c r="U411" s="1"/>
      <c r="V411" s="1"/>
      <c r="W411" s="1"/>
      <c r="X411" s="1"/>
      <c r="Y411" s="1"/>
      <c r="Z411" s="1"/>
    </row>
    <row r="412">
      <c r="A412" s="1"/>
      <c r="B412" s="1"/>
      <c r="C412" s="1"/>
      <c r="D412" s="1"/>
      <c r="E412" s="1"/>
      <c r="F412" s="1"/>
      <c r="G412" s="1"/>
      <c r="H412" s="1"/>
      <c r="I412" s="1"/>
      <c r="J412" s="1"/>
      <c r="K412" s="2"/>
      <c r="L412" s="2"/>
      <c r="M412" s="2"/>
      <c r="N412" s="3"/>
      <c r="O412" s="2"/>
      <c r="P412" s="1"/>
      <c r="Q412" s="1"/>
      <c r="R412" s="1"/>
      <c r="S412" s="1"/>
      <c r="T412" s="1"/>
      <c r="U412" s="1"/>
      <c r="V412" s="1"/>
      <c r="W412" s="1"/>
      <c r="X412" s="1"/>
      <c r="Y412" s="1"/>
      <c r="Z412" s="1"/>
    </row>
    <row r="413">
      <c r="A413" s="1"/>
      <c r="B413" s="1"/>
      <c r="C413" s="1"/>
      <c r="D413" s="1"/>
      <c r="E413" s="1"/>
      <c r="F413" s="1"/>
      <c r="G413" s="1"/>
      <c r="H413" s="1"/>
      <c r="I413" s="1"/>
      <c r="J413" s="1"/>
      <c r="K413" s="2"/>
      <c r="L413" s="2"/>
      <c r="M413" s="2"/>
      <c r="N413" s="3"/>
      <c r="O413" s="2"/>
      <c r="P413" s="1"/>
      <c r="Q413" s="1"/>
      <c r="R413" s="1"/>
      <c r="S413" s="1"/>
      <c r="T413" s="1"/>
      <c r="U413" s="1"/>
      <c r="V413" s="1"/>
      <c r="W413" s="1"/>
      <c r="X413" s="1"/>
      <c r="Y413" s="1"/>
      <c r="Z413" s="1"/>
    </row>
    <row r="414">
      <c r="A414" s="1"/>
      <c r="B414" s="1"/>
      <c r="C414" s="1"/>
      <c r="D414" s="1"/>
      <c r="E414" s="1"/>
      <c r="F414" s="1"/>
      <c r="G414" s="1"/>
      <c r="H414" s="1"/>
      <c r="I414" s="1"/>
      <c r="J414" s="1"/>
      <c r="K414" s="2"/>
      <c r="L414" s="2"/>
      <c r="M414" s="2"/>
      <c r="N414" s="3"/>
      <c r="O414" s="2"/>
      <c r="P414" s="1"/>
      <c r="Q414" s="1"/>
      <c r="R414" s="1"/>
      <c r="S414" s="1"/>
      <c r="T414" s="1"/>
      <c r="U414" s="1"/>
      <c r="V414" s="1"/>
      <c r="W414" s="1"/>
      <c r="X414" s="1"/>
      <c r="Y414" s="1"/>
      <c r="Z414" s="1"/>
    </row>
    <row r="415">
      <c r="A415" s="1"/>
      <c r="B415" s="1"/>
      <c r="C415" s="1"/>
      <c r="D415" s="1"/>
      <c r="E415" s="1"/>
      <c r="F415" s="1"/>
      <c r="G415" s="1"/>
      <c r="H415" s="1"/>
      <c r="I415" s="1"/>
      <c r="J415" s="1"/>
      <c r="K415" s="2"/>
      <c r="L415" s="2"/>
      <c r="M415" s="2"/>
      <c r="N415" s="3"/>
      <c r="O415" s="2"/>
      <c r="P415" s="1"/>
      <c r="Q415" s="1"/>
      <c r="R415" s="1"/>
      <c r="S415" s="1"/>
      <c r="T415" s="1"/>
      <c r="U415" s="1"/>
      <c r="V415" s="1"/>
      <c r="W415" s="1"/>
      <c r="X415" s="1"/>
      <c r="Y415" s="1"/>
      <c r="Z415" s="1"/>
    </row>
    <row r="416">
      <c r="A416" s="1"/>
      <c r="B416" s="1"/>
      <c r="C416" s="1"/>
      <c r="D416" s="1"/>
      <c r="E416" s="1"/>
      <c r="F416" s="1"/>
      <c r="G416" s="1"/>
      <c r="H416" s="1"/>
      <c r="I416" s="1"/>
      <c r="J416" s="1"/>
      <c r="K416" s="2"/>
      <c r="L416" s="2"/>
      <c r="M416" s="2"/>
      <c r="N416" s="3"/>
      <c r="O416" s="2"/>
      <c r="P416" s="1"/>
      <c r="Q416" s="1"/>
      <c r="R416" s="1"/>
      <c r="S416" s="1"/>
      <c r="T416" s="1"/>
      <c r="U416" s="1"/>
      <c r="V416" s="1"/>
      <c r="W416" s="1"/>
      <c r="X416" s="1"/>
      <c r="Y416" s="1"/>
      <c r="Z416" s="1"/>
    </row>
    <row r="417">
      <c r="A417" s="1"/>
      <c r="B417" s="1"/>
      <c r="C417" s="1"/>
      <c r="D417" s="1"/>
      <c r="E417" s="1"/>
      <c r="F417" s="1"/>
      <c r="G417" s="1"/>
      <c r="H417" s="1"/>
      <c r="I417" s="1"/>
      <c r="J417" s="1"/>
      <c r="K417" s="2"/>
      <c r="L417" s="2"/>
      <c r="M417" s="2"/>
      <c r="N417" s="3"/>
      <c r="O417" s="2"/>
      <c r="P417" s="1"/>
      <c r="Q417" s="1"/>
      <c r="R417" s="1"/>
      <c r="S417" s="1"/>
      <c r="T417" s="1"/>
      <c r="U417" s="1"/>
      <c r="V417" s="1"/>
      <c r="W417" s="1"/>
      <c r="X417" s="1"/>
      <c r="Y417" s="1"/>
      <c r="Z417" s="1"/>
    </row>
    <row r="418">
      <c r="A418" s="1"/>
      <c r="B418" s="1"/>
      <c r="C418" s="1"/>
      <c r="D418" s="1"/>
      <c r="E418" s="1"/>
      <c r="F418" s="1"/>
      <c r="G418" s="1"/>
      <c r="H418" s="1"/>
      <c r="I418" s="1"/>
      <c r="J418" s="1"/>
      <c r="K418" s="2"/>
      <c r="L418" s="2"/>
      <c r="M418" s="2"/>
      <c r="N418" s="3"/>
      <c r="O418" s="2"/>
      <c r="P418" s="1"/>
      <c r="Q418" s="1"/>
      <c r="R418" s="1"/>
      <c r="S418" s="1"/>
      <c r="T418" s="1"/>
      <c r="U418" s="1"/>
      <c r="V418" s="1"/>
      <c r="W418" s="1"/>
      <c r="X418" s="1"/>
      <c r="Y418" s="1"/>
      <c r="Z418" s="1"/>
    </row>
    <row r="419">
      <c r="A419" s="1"/>
      <c r="B419" s="1"/>
      <c r="C419" s="1"/>
      <c r="D419" s="1"/>
      <c r="E419" s="1"/>
      <c r="F419" s="1"/>
      <c r="G419" s="1"/>
      <c r="H419" s="1"/>
      <c r="I419" s="1"/>
      <c r="J419" s="1"/>
      <c r="K419" s="2"/>
      <c r="L419" s="2"/>
      <c r="M419" s="2"/>
      <c r="N419" s="3"/>
      <c r="O419" s="2"/>
      <c r="P419" s="1"/>
      <c r="Q419" s="1"/>
      <c r="R419" s="1"/>
      <c r="S419" s="1"/>
      <c r="T419" s="1"/>
      <c r="U419" s="1"/>
      <c r="V419" s="1"/>
      <c r="W419" s="1"/>
      <c r="X419" s="1"/>
      <c r="Y419" s="1"/>
      <c r="Z419" s="1"/>
    </row>
    <row r="420">
      <c r="A420" s="1"/>
      <c r="B420" s="1"/>
      <c r="C420" s="1"/>
      <c r="D420" s="1"/>
      <c r="E420" s="1"/>
      <c r="F420" s="1"/>
      <c r="G420" s="1"/>
      <c r="H420" s="1"/>
      <c r="I420" s="1"/>
      <c r="J420" s="1"/>
      <c r="K420" s="2"/>
      <c r="L420" s="2"/>
      <c r="M420" s="2"/>
      <c r="N420" s="3"/>
      <c r="O420" s="2"/>
      <c r="P420" s="1"/>
      <c r="Q420" s="1"/>
      <c r="R420" s="1"/>
      <c r="S420" s="1"/>
      <c r="T420" s="1"/>
      <c r="U420" s="1"/>
      <c r="V420" s="1"/>
      <c r="W420" s="1"/>
      <c r="X420" s="1"/>
      <c r="Y420" s="1"/>
      <c r="Z420" s="1"/>
    </row>
    <row r="421">
      <c r="A421" s="1"/>
      <c r="B421" s="1"/>
      <c r="C421" s="1"/>
      <c r="D421" s="1"/>
      <c r="E421" s="1"/>
      <c r="F421" s="1"/>
      <c r="G421" s="1"/>
      <c r="H421" s="1"/>
      <c r="I421" s="1"/>
      <c r="J421" s="1"/>
      <c r="K421" s="2"/>
      <c r="L421" s="2"/>
      <c r="M421" s="2"/>
      <c r="N421" s="3"/>
      <c r="O421" s="2"/>
      <c r="P421" s="1"/>
      <c r="Q421" s="1"/>
      <c r="R421" s="1"/>
      <c r="S421" s="1"/>
      <c r="T421" s="1"/>
      <c r="U421" s="1"/>
      <c r="V421" s="1"/>
      <c r="W421" s="1"/>
      <c r="X421" s="1"/>
      <c r="Y421" s="1"/>
      <c r="Z421" s="1"/>
    </row>
    <row r="422">
      <c r="A422" s="1"/>
      <c r="B422" s="1"/>
      <c r="C422" s="1"/>
      <c r="D422" s="1"/>
      <c r="E422" s="1"/>
      <c r="F422" s="1"/>
      <c r="G422" s="1"/>
      <c r="H422" s="1"/>
      <c r="I422" s="1"/>
      <c r="J422" s="1"/>
      <c r="K422" s="2"/>
      <c r="L422" s="2"/>
      <c r="M422" s="2"/>
      <c r="N422" s="3"/>
      <c r="O422" s="2"/>
      <c r="P422" s="1"/>
      <c r="Q422" s="1"/>
      <c r="R422" s="1"/>
      <c r="S422" s="1"/>
      <c r="T422" s="1"/>
      <c r="U422" s="1"/>
      <c r="V422" s="1"/>
      <c r="W422" s="1"/>
      <c r="X422" s="1"/>
      <c r="Y422" s="1"/>
      <c r="Z422" s="1"/>
    </row>
    <row r="423">
      <c r="A423" s="1"/>
      <c r="B423" s="1"/>
      <c r="C423" s="1"/>
      <c r="D423" s="1"/>
      <c r="E423" s="1"/>
      <c r="F423" s="1"/>
      <c r="G423" s="1"/>
      <c r="H423" s="1"/>
      <c r="I423" s="1"/>
      <c r="J423" s="1"/>
      <c r="K423" s="2"/>
      <c r="L423" s="2"/>
      <c r="M423" s="2"/>
      <c r="N423" s="3"/>
      <c r="O423" s="2"/>
      <c r="P423" s="1"/>
      <c r="Q423" s="1"/>
      <c r="R423" s="1"/>
      <c r="S423" s="1"/>
      <c r="T423" s="1"/>
      <c r="U423" s="1"/>
      <c r="V423" s="1"/>
      <c r="W423" s="1"/>
      <c r="X423" s="1"/>
      <c r="Y423" s="1"/>
      <c r="Z423" s="1"/>
    </row>
    <row r="424">
      <c r="A424" s="1"/>
      <c r="B424" s="1"/>
      <c r="C424" s="1"/>
      <c r="D424" s="1"/>
      <c r="E424" s="1"/>
      <c r="F424" s="1"/>
      <c r="G424" s="1"/>
      <c r="H424" s="1"/>
      <c r="I424" s="1"/>
      <c r="J424" s="1"/>
      <c r="K424" s="2"/>
      <c r="L424" s="2"/>
      <c r="M424" s="2"/>
      <c r="N424" s="3"/>
      <c r="O424" s="2"/>
      <c r="P424" s="1"/>
      <c r="Q424" s="1"/>
      <c r="R424" s="1"/>
      <c r="S424" s="1"/>
      <c r="T424" s="1"/>
      <c r="U424" s="1"/>
      <c r="V424" s="1"/>
      <c r="W424" s="1"/>
      <c r="X424" s="1"/>
      <c r="Y424" s="1"/>
      <c r="Z424" s="1"/>
    </row>
    <row r="425">
      <c r="A425" s="1"/>
      <c r="B425" s="1"/>
      <c r="C425" s="1"/>
      <c r="D425" s="1"/>
      <c r="E425" s="1"/>
      <c r="F425" s="1"/>
      <c r="G425" s="1"/>
      <c r="H425" s="1"/>
      <c r="I425" s="1"/>
      <c r="J425" s="1"/>
      <c r="K425" s="2"/>
      <c r="L425" s="2"/>
      <c r="M425" s="2"/>
      <c r="N425" s="3"/>
      <c r="O425" s="2"/>
      <c r="P425" s="1"/>
      <c r="Q425" s="1"/>
      <c r="R425" s="1"/>
      <c r="S425" s="1"/>
      <c r="T425" s="1"/>
      <c r="U425" s="1"/>
      <c r="V425" s="1"/>
      <c r="W425" s="1"/>
      <c r="X425" s="1"/>
      <c r="Y425" s="1"/>
      <c r="Z425" s="1"/>
    </row>
    <row r="426">
      <c r="A426" s="1"/>
      <c r="B426" s="1"/>
      <c r="C426" s="1"/>
      <c r="D426" s="1"/>
      <c r="E426" s="1"/>
      <c r="F426" s="1"/>
      <c r="G426" s="1"/>
      <c r="H426" s="1"/>
      <c r="I426" s="1"/>
      <c r="J426" s="1"/>
      <c r="K426" s="2"/>
      <c r="L426" s="2"/>
      <c r="M426" s="2"/>
      <c r="N426" s="3"/>
      <c r="O426" s="2"/>
      <c r="P426" s="1"/>
      <c r="Q426" s="1"/>
      <c r="R426" s="1"/>
      <c r="S426" s="1"/>
      <c r="T426" s="1"/>
      <c r="U426" s="1"/>
      <c r="V426" s="1"/>
      <c r="W426" s="1"/>
      <c r="X426" s="1"/>
      <c r="Y426" s="1"/>
      <c r="Z426" s="1"/>
    </row>
    <row r="427">
      <c r="A427" s="1"/>
      <c r="B427" s="1"/>
      <c r="C427" s="1"/>
      <c r="D427" s="1"/>
      <c r="E427" s="1"/>
      <c r="F427" s="1"/>
      <c r="G427" s="1"/>
      <c r="H427" s="1"/>
      <c r="I427" s="1"/>
      <c r="J427" s="1"/>
      <c r="K427" s="2"/>
      <c r="L427" s="2"/>
      <c r="M427" s="2"/>
      <c r="N427" s="3"/>
      <c r="O427" s="2"/>
      <c r="P427" s="1"/>
      <c r="Q427" s="1"/>
      <c r="R427" s="1"/>
      <c r="S427" s="1"/>
      <c r="T427" s="1"/>
      <c r="U427" s="1"/>
      <c r="V427" s="1"/>
      <c r="W427" s="1"/>
      <c r="X427" s="1"/>
      <c r="Y427" s="1"/>
      <c r="Z427" s="1"/>
    </row>
    <row r="428">
      <c r="A428" s="1"/>
      <c r="B428" s="1"/>
      <c r="C428" s="1"/>
      <c r="D428" s="1"/>
      <c r="E428" s="1"/>
      <c r="F428" s="1"/>
      <c r="G428" s="1"/>
      <c r="H428" s="1"/>
      <c r="I428" s="1"/>
      <c r="J428" s="1"/>
      <c r="K428" s="2"/>
      <c r="L428" s="2"/>
      <c r="M428" s="2"/>
      <c r="N428" s="3"/>
      <c r="O428" s="2"/>
      <c r="P428" s="1"/>
      <c r="Q428" s="1"/>
      <c r="R428" s="1"/>
      <c r="S428" s="1"/>
      <c r="T428" s="1"/>
      <c r="U428" s="1"/>
      <c r="V428" s="1"/>
      <c r="W428" s="1"/>
      <c r="X428" s="1"/>
      <c r="Y428" s="1"/>
      <c r="Z428" s="1"/>
    </row>
    <row r="429">
      <c r="A429" s="1"/>
      <c r="B429" s="1"/>
      <c r="C429" s="1"/>
      <c r="D429" s="1"/>
      <c r="E429" s="1"/>
      <c r="F429" s="1"/>
      <c r="G429" s="1"/>
      <c r="H429" s="1"/>
      <c r="I429" s="1"/>
      <c r="J429" s="1"/>
      <c r="K429" s="2"/>
      <c r="L429" s="2"/>
      <c r="M429" s="2"/>
      <c r="N429" s="3"/>
      <c r="O429" s="2"/>
      <c r="P429" s="1"/>
      <c r="Q429" s="1"/>
      <c r="R429" s="1"/>
      <c r="S429" s="1"/>
      <c r="T429" s="1"/>
      <c r="U429" s="1"/>
      <c r="V429" s="1"/>
      <c r="W429" s="1"/>
      <c r="X429" s="1"/>
      <c r="Y429" s="1"/>
      <c r="Z429" s="1"/>
    </row>
    <row r="430">
      <c r="A430" s="1"/>
      <c r="B430" s="1"/>
      <c r="C430" s="1"/>
      <c r="D430" s="1"/>
      <c r="E430" s="1"/>
      <c r="F430" s="1"/>
      <c r="G430" s="1"/>
      <c r="H430" s="1"/>
      <c r="I430" s="1"/>
      <c r="J430" s="1"/>
      <c r="K430" s="2"/>
      <c r="L430" s="2"/>
      <c r="M430" s="2"/>
      <c r="N430" s="3"/>
      <c r="O430" s="2"/>
      <c r="P430" s="1"/>
      <c r="Q430" s="1"/>
      <c r="R430" s="1"/>
      <c r="S430" s="1"/>
      <c r="T430" s="1"/>
      <c r="U430" s="1"/>
      <c r="V430" s="1"/>
      <c r="W430" s="1"/>
      <c r="X430" s="1"/>
      <c r="Y430" s="1"/>
      <c r="Z430" s="1"/>
    </row>
    <row r="431">
      <c r="A431" s="1"/>
      <c r="B431" s="1"/>
      <c r="C431" s="1"/>
      <c r="D431" s="1"/>
      <c r="E431" s="1"/>
      <c r="F431" s="1"/>
      <c r="G431" s="1"/>
      <c r="H431" s="1"/>
      <c r="I431" s="1"/>
      <c r="J431" s="1"/>
      <c r="K431" s="2"/>
      <c r="L431" s="2"/>
      <c r="M431" s="2"/>
      <c r="N431" s="3"/>
      <c r="O431" s="2"/>
      <c r="P431" s="1"/>
      <c r="Q431" s="1"/>
      <c r="R431" s="1"/>
      <c r="S431" s="1"/>
      <c r="T431" s="1"/>
      <c r="U431" s="1"/>
      <c r="V431" s="1"/>
      <c r="W431" s="1"/>
      <c r="X431" s="1"/>
      <c r="Y431" s="1"/>
      <c r="Z431" s="1"/>
    </row>
    <row r="432">
      <c r="A432" s="1"/>
      <c r="B432" s="1"/>
      <c r="C432" s="1"/>
      <c r="D432" s="1"/>
      <c r="E432" s="1"/>
      <c r="F432" s="1"/>
      <c r="G432" s="1"/>
      <c r="H432" s="1"/>
      <c r="I432" s="1"/>
      <c r="J432" s="1"/>
      <c r="K432" s="2"/>
      <c r="L432" s="2"/>
      <c r="M432" s="2"/>
      <c r="N432" s="3"/>
      <c r="O432" s="2"/>
      <c r="P432" s="1"/>
      <c r="Q432" s="1"/>
      <c r="R432" s="1"/>
      <c r="S432" s="1"/>
      <c r="T432" s="1"/>
      <c r="U432" s="1"/>
      <c r="V432" s="1"/>
      <c r="W432" s="1"/>
      <c r="X432" s="1"/>
      <c r="Y432" s="1"/>
      <c r="Z432" s="1"/>
    </row>
    <row r="433">
      <c r="A433" s="1"/>
      <c r="B433" s="1"/>
      <c r="C433" s="1"/>
      <c r="D433" s="1"/>
      <c r="E433" s="1"/>
      <c r="F433" s="1"/>
      <c r="G433" s="1"/>
      <c r="H433" s="1"/>
      <c r="I433" s="1"/>
      <c r="J433" s="1"/>
      <c r="K433" s="2"/>
      <c r="L433" s="2"/>
      <c r="M433" s="2"/>
      <c r="N433" s="3"/>
      <c r="O433" s="2"/>
      <c r="P433" s="1"/>
      <c r="Q433" s="1"/>
      <c r="R433" s="1"/>
      <c r="S433" s="1"/>
      <c r="T433" s="1"/>
      <c r="U433" s="1"/>
      <c r="V433" s="1"/>
      <c r="W433" s="1"/>
      <c r="X433" s="1"/>
      <c r="Y433" s="1"/>
      <c r="Z433" s="1"/>
    </row>
    <row r="434">
      <c r="A434" s="1"/>
      <c r="B434" s="1"/>
      <c r="C434" s="1"/>
      <c r="D434" s="1"/>
      <c r="E434" s="1"/>
      <c r="F434" s="1"/>
      <c r="G434" s="1"/>
      <c r="H434" s="1"/>
      <c r="I434" s="1"/>
      <c r="J434" s="1"/>
      <c r="K434" s="2"/>
      <c r="L434" s="2"/>
      <c r="M434" s="2"/>
      <c r="N434" s="3"/>
      <c r="O434" s="2"/>
      <c r="P434" s="1"/>
      <c r="Q434" s="1"/>
      <c r="R434" s="1"/>
      <c r="S434" s="1"/>
      <c r="T434" s="1"/>
      <c r="U434" s="1"/>
      <c r="V434" s="1"/>
      <c r="W434" s="1"/>
      <c r="X434" s="1"/>
      <c r="Y434" s="1"/>
      <c r="Z434" s="1"/>
    </row>
    <row r="435">
      <c r="A435" s="1"/>
      <c r="B435" s="1"/>
      <c r="C435" s="1"/>
      <c r="D435" s="1"/>
      <c r="E435" s="1"/>
      <c r="F435" s="1"/>
      <c r="G435" s="1"/>
      <c r="H435" s="1"/>
      <c r="I435" s="1"/>
      <c r="J435" s="1"/>
      <c r="K435" s="2"/>
      <c r="L435" s="2"/>
      <c r="M435" s="2"/>
      <c r="N435" s="3"/>
      <c r="O435" s="2"/>
      <c r="P435" s="1"/>
      <c r="Q435" s="1"/>
      <c r="R435" s="1"/>
      <c r="S435" s="1"/>
      <c r="T435" s="1"/>
      <c r="U435" s="1"/>
      <c r="V435" s="1"/>
      <c r="W435" s="1"/>
      <c r="X435" s="1"/>
      <c r="Y435" s="1"/>
      <c r="Z435" s="1"/>
    </row>
    <row r="436">
      <c r="A436" s="1"/>
      <c r="B436" s="1"/>
      <c r="C436" s="1"/>
      <c r="D436" s="1"/>
      <c r="E436" s="1"/>
      <c r="F436" s="1"/>
      <c r="G436" s="1"/>
      <c r="H436" s="1"/>
      <c r="I436" s="1"/>
      <c r="J436" s="1"/>
      <c r="K436" s="2"/>
      <c r="L436" s="2"/>
      <c r="M436" s="2"/>
      <c r="N436" s="3"/>
      <c r="O436" s="2"/>
      <c r="P436" s="1"/>
      <c r="Q436" s="1"/>
      <c r="R436" s="1"/>
      <c r="S436" s="1"/>
      <c r="T436" s="1"/>
      <c r="U436" s="1"/>
      <c r="V436" s="1"/>
      <c r="W436" s="1"/>
      <c r="X436" s="1"/>
      <c r="Y436" s="1"/>
      <c r="Z436" s="1"/>
    </row>
    <row r="437">
      <c r="A437" s="1"/>
      <c r="B437" s="1"/>
      <c r="C437" s="1"/>
      <c r="D437" s="1"/>
      <c r="E437" s="1"/>
      <c r="F437" s="1"/>
      <c r="G437" s="1"/>
      <c r="H437" s="1"/>
      <c r="I437" s="1"/>
      <c r="J437" s="1"/>
      <c r="K437" s="2"/>
      <c r="L437" s="2"/>
      <c r="M437" s="2"/>
      <c r="N437" s="3"/>
      <c r="O437" s="2"/>
      <c r="P437" s="1"/>
      <c r="Q437" s="1"/>
      <c r="R437" s="1"/>
      <c r="S437" s="1"/>
      <c r="T437" s="1"/>
      <c r="U437" s="1"/>
      <c r="V437" s="1"/>
      <c r="W437" s="1"/>
      <c r="X437" s="1"/>
      <c r="Y437" s="1"/>
      <c r="Z437" s="1"/>
    </row>
    <row r="438">
      <c r="A438" s="1"/>
      <c r="B438" s="1"/>
      <c r="C438" s="1"/>
      <c r="D438" s="1"/>
      <c r="E438" s="1"/>
      <c r="F438" s="1"/>
      <c r="G438" s="1"/>
      <c r="H438" s="1"/>
      <c r="I438" s="1"/>
      <c r="J438" s="1"/>
      <c r="K438" s="2"/>
      <c r="L438" s="2"/>
      <c r="M438" s="2"/>
      <c r="N438" s="3"/>
      <c r="O438" s="2"/>
      <c r="P438" s="1"/>
      <c r="Q438" s="1"/>
      <c r="R438" s="1"/>
      <c r="S438" s="1"/>
      <c r="T438" s="1"/>
      <c r="U438" s="1"/>
      <c r="V438" s="1"/>
      <c r="W438" s="1"/>
      <c r="X438" s="1"/>
      <c r="Y438" s="1"/>
      <c r="Z438" s="1"/>
    </row>
    <row r="439">
      <c r="A439" s="1"/>
      <c r="B439" s="1"/>
      <c r="C439" s="1"/>
      <c r="D439" s="1"/>
      <c r="E439" s="1"/>
      <c r="F439" s="1"/>
      <c r="G439" s="1"/>
      <c r="H439" s="1"/>
      <c r="I439" s="1"/>
      <c r="J439" s="1"/>
      <c r="K439" s="2"/>
      <c r="L439" s="2"/>
      <c r="M439" s="2"/>
      <c r="N439" s="3"/>
      <c r="O439" s="2"/>
      <c r="P439" s="1"/>
      <c r="Q439" s="1"/>
      <c r="R439" s="1"/>
      <c r="S439" s="1"/>
      <c r="T439" s="1"/>
      <c r="U439" s="1"/>
      <c r="V439" s="1"/>
      <c r="W439" s="1"/>
      <c r="X439" s="1"/>
      <c r="Y439" s="1"/>
      <c r="Z439" s="1"/>
    </row>
    <row r="440">
      <c r="A440" s="1"/>
      <c r="B440" s="1"/>
      <c r="C440" s="1"/>
      <c r="D440" s="1"/>
      <c r="E440" s="1"/>
      <c r="F440" s="1"/>
      <c r="G440" s="1"/>
      <c r="H440" s="1"/>
      <c r="I440" s="1"/>
      <c r="J440" s="1"/>
      <c r="K440" s="2"/>
      <c r="L440" s="2"/>
      <c r="M440" s="2"/>
      <c r="N440" s="3"/>
      <c r="O440" s="2"/>
      <c r="P440" s="1"/>
      <c r="Q440" s="1"/>
      <c r="R440" s="1"/>
      <c r="S440" s="1"/>
      <c r="T440" s="1"/>
      <c r="U440" s="1"/>
      <c r="V440" s="1"/>
      <c r="W440" s="1"/>
      <c r="X440" s="1"/>
      <c r="Y440" s="1"/>
      <c r="Z440" s="1"/>
    </row>
    <row r="441">
      <c r="A441" s="1"/>
      <c r="B441" s="1"/>
      <c r="C441" s="1"/>
      <c r="D441" s="1"/>
      <c r="E441" s="1"/>
      <c r="F441" s="1"/>
      <c r="G441" s="1"/>
      <c r="H441" s="1"/>
      <c r="I441" s="1"/>
      <c r="J441" s="1"/>
      <c r="K441" s="2"/>
      <c r="L441" s="2"/>
      <c r="M441" s="2"/>
      <c r="N441" s="3"/>
      <c r="O441" s="2"/>
      <c r="P441" s="1"/>
      <c r="Q441" s="1"/>
      <c r="R441" s="1"/>
      <c r="S441" s="1"/>
      <c r="T441" s="1"/>
      <c r="U441" s="1"/>
      <c r="V441" s="1"/>
      <c r="W441" s="1"/>
      <c r="X441" s="1"/>
      <c r="Y441" s="1"/>
      <c r="Z441" s="1"/>
    </row>
    <row r="442">
      <c r="A442" s="1"/>
      <c r="B442" s="1"/>
      <c r="C442" s="1"/>
      <c r="D442" s="1"/>
      <c r="E442" s="1"/>
      <c r="F442" s="1"/>
      <c r="G442" s="1"/>
      <c r="H442" s="1"/>
      <c r="I442" s="1"/>
      <c r="J442" s="1"/>
      <c r="K442" s="2"/>
      <c r="L442" s="2"/>
      <c r="M442" s="2"/>
      <c r="N442" s="3"/>
      <c r="O442" s="2"/>
      <c r="P442" s="1"/>
      <c r="Q442" s="1"/>
      <c r="R442" s="1"/>
      <c r="S442" s="1"/>
      <c r="T442" s="1"/>
      <c r="U442" s="1"/>
      <c r="V442" s="1"/>
      <c r="W442" s="1"/>
      <c r="X442" s="1"/>
      <c r="Y442" s="1"/>
      <c r="Z442" s="1"/>
    </row>
    <row r="443">
      <c r="A443" s="1"/>
      <c r="B443" s="1"/>
      <c r="C443" s="1"/>
      <c r="D443" s="1"/>
      <c r="E443" s="1"/>
      <c r="F443" s="1"/>
      <c r="G443" s="1"/>
      <c r="H443" s="1"/>
      <c r="I443" s="1"/>
      <c r="J443" s="1"/>
      <c r="K443" s="2"/>
      <c r="L443" s="2"/>
      <c r="M443" s="2"/>
      <c r="N443" s="3"/>
      <c r="O443" s="2"/>
      <c r="P443" s="1"/>
      <c r="Q443" s="1"/>
      <c r="R443" s="1"/>
      <c r="S443" s="1"/>
      <c r="T443" s="1"/>
      <c r="U443" s="1"/>
      <c r="V443" s="1"/>
      <c r="W443" s="1"/>
      <c r="X443" s="1"/>
      <c r="Y443" s="1"/>
      <c r="Z443" s="1"/>
    </row>
    <row r="444">
      <c r="A444" s="1"/>
      <c r="B444" s="1"/>
      <c r="C444" s="1"/>
      <c r="D444" s="1"/>
      <c r="E444" s="1"/>
      <c r="F444" s="1"/>
      <c r="G444" s="1"/>
      <c r="H444" s="1"/>
      <c r="I444" s="1"/>
      <c r="J444" s="1"/>
      <c r="K444" s="2"/>
      <c r="L444" s="2"/>
      <c r="M444" s="2"/>
      <c r="N444" s="3"/>
      <c r="O444" s="2"/>
      <c r="P444" s="1"/>
      <c r="Q444" s="1"/>
      <c r="R444" s="1"/>
      <c r="S444" s="1"/>
      <c r="T444" s="1"/>
      <c r="U444" s="1"/>
      <c r="V444" s="1"/>
      <c r="W444" s="1"/>
      <c r="X444" s="1"/>
      <c r="Y444" s="1"/>
      <c r="Z444" s="1"/>
    </row>
    <row r="445">
      <c r="A445" s="1"/>
      <c r="B445" s="1"/>
      <c r="C445" s="1"/>
      <c r="D445" s="1"/>
      <c r="E445" s="1"/>
      <c r="F445" s="1"/>
      <c r="G445" s="1"/>
      <c r="H445" s="1"/>
      <c r="I445" s="1"/>
      <c r="J445" s="1"/>
      <c r="K445" s="2"/>
      <c r="L445" s="2"/>
      <c r="M445" s="2"/>
      <c r="N445" s="3"/>
      <c r="O445" s="2"/>
      <c r="P445" s="1"/>
      <c r="Q445" s="1"/>
      <c r="R445" s="1"/>
      <c r="S445" s="1"/>
      <c r="T445" s="1"/>
      <c r="U445" s="1"/>
      <c r="V445" s="1"/>
      <c r="W445" s="1"/>
      <c r="X445" s="1"/>
      <c r="Y445" s="1"/>
      <c r="Z445" s="1"/>
    </row>
    <row r="446">
      <c r="A446" s="1"/>
      <c r="B446" s="1"/>
      <c r="C446" s="1"/>
      <c r="D446" s="1"/>
      <c r="E446" s="1"/>
      <c r="F446" s="1"/>
      <c r="G446" s="1"/>
      <c r="H446" s="1"/>
      <c r="I446" s="1"/>
      <c r="J446" s="1"/>
      <c r="K446" s="2"/>
      <c r="L446" s="2"/>
      <c r="M446" s="2"/>
      <c r="N446" s="3"/>
      <c r="O446" s="2"/>
      <c r="P446" s="1"/>
      <c r="Q446" s="1"/>
      <c r="R446" s="1"/>
      <c r="S446" s="1"/>
      <c r="T446" s="1"/>
      <c r="U446" s="1"/>
      <c r="V446" s="1"/>
      <c r="W446" s="1"/>
      <c r="X446" s="1"/>
      <c r="Y446" s="1"/>
      <c r="Z446" s="1"/>
    </row>
    <row r="447">
      <c r="A447" s="1"/>
      <c r="B447" s="1"/>
      <c r="C447" s="1"/>
      <c r="D447" s="1"/>
      <c r="E447" s="1"/>
      <c r="F447" s="1"/>
      <c r="G447" s="1"/>
      <c r="H447" s="1"/>
      <c r="I447" s="1"/>
      <c r="J447" s="1"/>
      <c r="K447" s="2"/>
      <c r="L447" s="2"/>
      <c r="M447" s="2"/>
      <c r="N447" s="3"/>
      <c r="O447" s="2"/>
      <c r="P447" s="1"/>
      <c r="Q447" s="1"/>
      <c r="R447" s="1"/>
      <c r="S447" s="1"/>
      <c r="T447" s="1"/>
      <c r="U447" s="1"/>
      <c r="V447" s="1"/>
      <c r="W447" s="1"/>
      <c r="X447" s="1"/>
      <c r="Y447" s="1"/>
      <c r="Z447" s="1"/>
    </row>
    <row r="448">
      <c r="A448" s="1"/>
      <c r="B448" s="1"/>
      <c r="C448" s="1"/>
      <c r="D448" s="1"/>
      <c r="E448" s="1"/>
      <c r="F448" s="1"/>
      <c r="G448" s="1"/>
      <c r="H448" s="1"/>
      <c r="I448" s="1"/>
      <c r="J448" s="1"/>
      <c r="K448" s="2"/>
      <c r="L448" s="2"/>
      <c r="M448" s="2"/>
      <c r="N448" s="3"/>
      <c r="O448" s="2"/>
      <c r="P448" s="1"/>
      <c r="Q448" s="1"/>
      <c r="R448" s="1"/>
      <c r="S448" s="1"/>
      <c r="T448" s="1"/>
      <c r="U448" s="1"/>
      <c r="V448" s="1"/>
      <c r="W448" s="1"/>
      <c r="X448" s="1"/>
      <c r="Y448" s="1"/>
      <c r="Z448" s="1"/>
    </row>
    <row r="449">
      <c r="A449" s="1"/>
      <c r="B449" s="1"/>
      <c r="C449" s="1"/>
      <c r="D449" s="1"/>
      <c r="E449" s="1"/>
      <c r="F449" s="1"/>
      <c r="G449" s="1"/>
      <c r="H449" s="1"/>
      <c r="I449" s="1"/>
      <c r="J449" s="1"/>
      <c r="K449" s="2"/>
      <c r="L449" s="2"/>
      <c r="M449" s="2"/>
      <c r="N449" s="3"/>
      <c r="O449" s="2"/>
      <c r="P449" s="1"/>
      <c r="Q449" s="1"/>
      <c r="R449" s="1"/>
      <c r="S449" s="1"/>
      <c r="T449" s="1"/>
      <c r="U449" s="1"/>
      <c r="V449" s="1"/>
      <c r="W449" s="1"/>
      <c r="X449" s="1"/>
      <c r="Y449" s="1"/>
      <c r="Z449" s="1"/>
    </row>
    <row r="450">
      <c r="A450" s="1"/>
      <c r="B450" s="1"/>
      <c r="C450" s="1"/>
      <c r="D450" s="1"/>
      <c r="E450" s="1"/>
      <c r="F450" s="1"/>
      <c r="G450" s="1"/>
      <c r="H450" s="1"/>
      <c r="I450" s="1"/>
      <c r="J450" s="1"/>
      <c r="K450" s="2"/>
      <c r="L450" s="2"/>
      <c r="M450" s="2"/>
      <c r="N450" s="3"/>
      <c r="O450" s="2"/>
      <c r="P450" s="1"/>
      <c r="Q450" s="1"/>
      <c r="R450" s="1"/>
      <c r="S450" s="1"/>
      <c r="T450" s="1"/>
      <c r="U450" s="1"/>
      <c r="V450" s="1"/>
      <c r="W450" s="1"/>
      <c r="X450" s="1"/>
      <c r="Y450" s="1"/>
      <c r="Z450" s="1"/>
    </row>
    <row r="451">
      <c r="A451" s="1"/>
      <c r="B451" s="1"/>
      <c r="C451" s="1"/>
      <c r="D451" s="1"/>
      <c r="E451" s="1"/>
      <c r="F451" s="1"/>
      <c r="G451" s="1"/>
      <c r="H451" s="1"/>
      <c r="I451" s="1"/>
      <c r="J451" s="1"/>
      <c r="K451" s="2"/>
      <c r="L451" s="2"/>
      <c r="M451" s="2"/>
      <c r="N451" s="3"/>
      <c r="O451" s="2"/>
      <c r="P451" s="1"/>
      <c r="Q451" s="1"/>
      <c r="R451" s="1"/>
      <c r="S451" s="1"/>
      <c r="T451" s="1"/>
      <c r="U451" s="1"/>
      <c r="V451" s="1"/>
      <c r="W451" s="1"/>
      <c r="X451" s="1"/>
      <c r="Y451" s="1"/>
      <c r="Z451" s="1"/>
    </row>
    <row r="452">
      <c r="A452" s="1"/>
      <c r="B452" s="1"/>
      <c r="C452" s="1"/>
      <c r="D452" s="1"/>
      <c r="E452" s="1"/>
      <c r="F452" s="1"/>
      <c r="G452" s="1"/>
      <c r="H452" s="1"/>
      <c r="I452" s="1"/>
      <c r="J452" s="1"/>
      <c r="K452" s="2"/>
      <c r="L452" s="2"/>
      <c r="M452" s="2"/>
      <c r="N452" s="3"/>
      <c r="O452" s="2"/>
      <c r="P452" s="1"/>
      <c r="Q452" s="1"/>
      <c r="R452" s="1"/>
      <c r="S452" s="1"/>
      <c r="T452" s="1"/>
      <c r="U452" s="1"/>
      <c r="V452" s="1"/>
      <c r="W452" s="1"/>
      <c r="X452" s="1"/>
      <c r="Y452" s="1"/>
      <c r="Z452" s="1"/>
    </row>
    <row r="453">
      <c r="A453" s="1"/>
      <c r="B453" s="1"/>
      <c r="C453" s="1"/>
      <c r="D453" s="1"/>
      <c r="E453" s="1"/>
      <c r="F453" s="1"/>
      <c r="G453" s="1"/>
      <c r="H453" s="1"/>
      <c r="I453" s="1"/>
      <c r="J453" s="1"/>
      <c r="K453" s="2"/>
      <c r="L453" s="2"/>
      <c r="M453" s="2"/>
      <c r="N453" s="3"/>
      <c r="O453" s="2"/>
      <c r="P453" s="1"/>
      <c r="Q453" s="1"/>
      <c r="R453" s="1"/>
      <c r="S453" s="1"/>
      <c r="T453" s="1"/>
      <c r="U453" s="1"/>
      <c r="V453" s="1"/>
      <c r="W453" s="1"/>
      <c r="X453" s="1"/>
      <c r="Y453" s="1"/>
      <c r="Z453" s="1"/>
    </row>
    <row r="454">
      <c r="A454" s="1"/>
      <c r="B454" s="1"/>
      <c r="C454" s="1"/>
      <c r="D454" s="1"/>
      <c r="E454" s="1"/>
      <c r="F454" s="1"/>
      <c r="G454" s="1"/>
      <c r="H454" s="1"/>
      <c r="I454" s="1"/>
      <c r="J454" s="1"/>
      <c r="K454" s="2"/>
      <c r="L454" s="2"/>
      <c r="M454" s="2"/>
      <c r="N454" s="3"/>
      <c r="O454" s="2"/>
      <c r="P454" s="1"/>
      <c r="Q454" s="1"/>
      <c r="R454" s="1"/>
      <c r="S454" s="1"/>
      <c r="T454" s="1"/>
      <c r="U454" s="1"/>
      <c r="V454" s="1"/>
      <c r="W454" s="1"/>
      <c r="X454" s="1"/>
      <c r="Y454" s="1"/>
      <c r="Z454" s="1"/>
    </row>
    <row r="455">
      <c r="A455" s="1"/>
      <c r="B455" s="1"/>
      <c r="C455" s="1"/>
      <c r="D455" s="1"/>
      <c r="E455" s="1"/>
      <c r="F455" s="1"/>
      <c r="G455" s="1"/>
      <c r="H455" s="1"/>
      <c r="I455" s="1"/>
      <c r="J455" s="1"/>
      <c r="K455" s="2"/>
      <c r="L455" s="2"/>
      <c r="M455" s="2"/>
      <c r="N455" s="3"/>
      <c r="O455" s="2"/>
      <c r="P455" s="1"/>
      <c r="Q455" s="1"/>
      <c r="R455" s="1"/>
      <c r="S455" s="1"/>
      <c r="T455" s="1"/>
      <c r="U455" s="1"/>
      <c r="V455" s="1"/>
      <c r="W455" s="1"/>
      <c r="X455" s="1"/>
      <c r="Y455" s="1"/>
      <c r="Z455" s="1"/>
    </row>
    <row r="456">
      <c r="A456" s="1"/>
      <c r="B456" s="1"/>
      <c r="C456" s="1"/>
      <c r="D456" s="1"/>
      <c r="E456" s="1"/>
      <c r="F456" s="1"/>
      <c r="G456" s="1"/>
      <c r="H456" s="1"/>
      <c r="I456" s="1"/>
      <c r="J456" s="1"/>
      <c r="K456" s="2"/>
      <c r="L456" s="2"/>
      <c r="M456" s="2"/>
      <c r="N456" s="3"/>
      <c r="O456" s="2"/>
      <c r="P456" s="1"/>
      <c r="Q456" s="1"/>
      <c r="R456" s="1"/>
      <c r="S456" s="1"/>
      <c r="T456" s="1"/>
      <c r="U456" s="1"/>
      <c r="V456" s="1"/>
      <c r="W456" s="1"/>
      <c r="X456" s="1"/>
      <c r="Y456" s="1"/>
      <c r="Z456" s="1"/>
    </row>
    <row r="457">
      <c r="A457" s="1"/>
      <c r="B457" s="1"/>
      <c r="C457" s="1"/>
      <c r="D457" s="1"/>
      <c r="E457" s="1"/>
      <c r="F457" s="1"/>
      <c r="G457" s="1"/>
      <c r="H457" s="1"/>
      <c r="I457" s="1"/>
      <c r="J457" s="1"/>
      <c r="K457" s="2"/>
      <c r="L457" s="2"/>
      <c r="M457" s="2"/>
      <c r="N457" s="3"/>
      <c r="O457" s="2"/>
      <c r="P457" s="1"/>
      <c r="Q457" s="1"/>
      <c r="R457" s="1"/>
      <c r="S457" s="1"/>
      <c r="T457" s="1"/>
      <c r="U457" s="1"/>
      <c r="V457" s="1"/>
      <c r="W457" s="1"/>
      <c r="X457" s="1"/>
      <c r="Y457" s="1"/>
      <c r="Z457" s="1"/>
    </row>
    <row r="458">
      <c r="A458" s="1"/>
      <c r="B458" s="1"/>
      <c r="C458" s="1"/>
      <c r="D458" s="1"/>
      <c r="E458" s="1"/>
      <c r="F458" s="1"/>
      <c r="G458" s="1"/>
      <c r="H458" s="1"/>
      <c r="I458" s="1"/>
      <c r="J458" s="1"/>
      <c r="K458" s="2"/>
      <c r="L458" s="2"/>
      <c r="M458" s="2"/>
      <c r="N458" s="3"/>
      <c r="O458" s="2"/>
      <c r="P458" s="1"/>
      <c r="Q458" s="1"/>
      <c r="R458" s="1"/>
      <c r="S458" s="1"/>
      <c r="T458" s="1"/>
      <c r="U458" s="1"/>
      <c r="V458" s="1"/>
      <c r="W458" s="1"/>
      <c r="X458" s="1"/>
      <c r="Y458" s="1"/>
      <c r="Z458" s="1"/>
    </row>
    <row r="459">
      <c r="A459" s="1"/>
      <c r="B459" s="1"/>
      <c r="C459" s="1"/>
      <c r="D459" s="1"/>
      <c r="E459" s="1"/>
      <c r="F459" s="1"/>
      <c r="G459" s="1"/>
      <c r="H459" s="1"/>
      <c r="I459" s="1"/>
      <c r="J459" s="1"/>
      <c r="K459" s="2"/>
      <c r="L459" s="2"/>
      <c r="M459" s="2"/>
      <c r="N459" s="3"/>
      <c r="O459" s="2"/>
      <c r="P459" s="1"/>
      <c r="Q459" s="1"/>
      <c r="R459" s="1"/>
      <c r="S459" s="1"/>
      <c r="T459" s="1"/>
      <c r="U459" s="1"/>
      <c r="V459" s="1"/>
      <c r="W459" s="1"/>
      <c r="X459" s="1"/>
      <c r="Y459" s="1"/>
      <c r="Z459" s="1"/>
    </row>
    <row r="460">
      <c r="A460" s="1"/>
      <c r="B460" s="1"/>
      <c r="C460" s="1"/>
      <c r="D460" s="1"/>
      <c r="E460" s="1"/>
      <c r="F460" s="1"/>
      <c r="G460" s="1"/>
      <c r="H460" s="1"/>
      <c r="I460" s="1"/>
      <c r="J460" s="1"/>
      <c r="K460" s="2"/>
      <c r="L460" s="2"/>
      <c r="M460" s="2"/>
      <c r="N460" s="3"/>
      <c r="O460" s="2"/>
      <c r="P460" s="1"/>
      <c r="Q460" s="1"/>
      <c r="R460" s="1"/>
      <c r="S460" s="1"/>
      <c r="T460" s="1"/>
      <c r="U460" s="1"/>
      <c r="V460" s="1"/>
      <c r="W460" s="1"/>
      <c r="X460" s="1"/>
      <c r="Y460" s="1"/>
      <c r="Z460" s="1"/>
    </row>
    <row r="461">
      <c r="A461" s="1"/>
      <c r="B461" s="1"/>
      <c r="C461" s="1"/>
      <c r="D461" s="1"/>
      <c r="E461" s="1"/>
      <c r="F461" s="1"/>
      <c r="G461" s="1"/>
      <c r="H461" s="1"/>
      <c r="I461" s="1"/>
      <c r="J461" s="1"/>
      <c r="K461" s="2"/>
      <c r="L461" s="2"/>
      <c r="M461" s="2"/>
      <c r="N461" s="3"/>
      <c r="O461" s="2"/>
      <c r="P461" s="1"/>
      <c r="Q461" s="1"/>
      <c r="R461" s="1"/>
      <c r="S461" s="1"/>
      <c r="T461" s="1"/>
      <c r="U461" s="1"/>
      <c r="V461" s="1"/>
      <c r="W461" s="1"/>
      <c r="X461" s="1"/>
      <c r="Y461" s="1"/>
      <c r="Z461" s="1"/>
    </row>
    <row r="462">
      <c r="A462" s="1"/>
      <c r="B462" s="1"/>
      <c r="C462" s="1"/>
      <c r="D462" s="1"/>
      <c r="E462" s="1"/>
      <c r="F462" s="1"/>
      <c r="G462" s="1"/>
      <c r="H462" s="1"/>
      <c r="I462" s="1"/>
      <c r="J462" s="1"/>
      <c r="K462" s="2"/>
      <c r="L462" s="2"/>
      <c r="M462" s="2"/>
      <c r="N462" s="3"/>
      <c r="O462" s="2"/>
      <c r="P462" s="1"/>
      <c r="Q462" s="1"/>
      <c r="R462" s="1"/>
      <c r="S462" s="1"/>
      <c r="T462" s="1"/>
      <c r="U462" s="1"/>
      <c r="V462" s="1"/>
      <c r="W462" s="1"/>
      <c r="X462" s="1"/>
      <c r="Y462" s="1"/>
      <c r="Z462" s="1"/>
    </row>
    <row r="463">
      <c r="A463" s="1"/>
      <c r="B463" s="1"/>
      <c r="C463" s="1"/>
      <c r="D463" s="1"/>
      <c r="E463" s="1"/>
      <c r="F463" s="1"/>
      <c r="G463" s="1"/>
      <c r="H463" s="1"/>
      <c r="I463" s="1"/>
      <c r="J463" s="1"/>
      <c r="K463" s="2"/>
      <c r="L463" s="2"/>
      <c r="M463" s="2"/>
      <c r="N463" s="3"/>
      <c r="O463" s="2"/>
      <c r="P463" s="1"/>
      <c r="Q463" s="1"/>
      <c r="R463" s="1"/>
      <c r="S463" s="1"/>
      <c r="T463" s="1"/>
      <c r="U463" s="1"/>
      <c r="V463" s="1"/>
      <c r="W463" s="1"/>
      <c r="X463" s="1"/>
      <c r="Y463" s="1"/>
      <c r="Z463" s="1"/>
    </row>
    <row r="464">
      <c r="A464" s="1"/>
      <c r="B464" s="1"/>
      <c r="C464" s="1"/>
      <c r="D464" s="1"/>
      <c r="E464" s="1"/>
      <c r="F464" s="1"/>
      <c r="G464" s="1"/>
      <c r="H464" s="1"/>
      <c r="I464" s="1"/>
      <c r="J464" s="1"/>
      <c r="K464" s="2"/>
      <c r="L464" s="2"/>
      <c r="M464" s="2"/>
      <c r="N464" s="3"/>
      <c r="O464" s="2"/>
      <c r="P464" s="1"/>
      <c r="Q464" s="1"/>
      <c r="R464" s="1"/>
      <c r="S464" s="1"/>
      <c r="T464" s="1"/>
      <c r="U464" s="1"/>
      <c r="V464" s="1"/>
      <c r="W464" s="1"/>
      <c r="X464" s="1"/>
      <c r="Y464" s="1"/>
      <c r="Z464" s="1"/>
    </row>
    <row r="465">
      <c r="A465" s="1"/>
      <c r="B465" s="1"/>
      <c r="C465" s="1"/>
      <c r="D465" s="1"/>
      <c r="E465" s="1"/>
      <c r="F465" s="1"/>
      <c r="G465" s="1"/>
      <c r="H465" s="1"/>
      <c r="I465" s="1"/>
      <c r="J465" s="1"/>
      <c r="K465" s="2"/>
      <c r="L465" s="2"/>
      <c r="M465" s="2"/>
      <c r="N465" s="3"/>
      <c r="O465" s="2"/>
      <c r="P465" s="1"/>
      <c r="Q465" s="1"/>
      <c r="R465" s="1"/>
      <c r="S465" s="1"/>
      <c r="T465" s="1"/>
      <c r="U465" s="1"/>
      <c r="V465" s="1"/>
      <c r="W465" s="1"/>
      <c r="X465" s="1"/>
      <c r="Y465" s="1"/>
      <c r="Z465" s="1"/>
    </row>
    <row r="466">
      <c r="A466" s="1"/>
      <c r="B466" s="1"/>
      <c r="C466" s="1"/>
      <c r="D466" s="1"/>
      <c r="E466" s="1"/>
      <c r="F466" s="1"/>
      <c r="G466" s="1"/>
      <c r="H466" s="1"/>
      <c r="I466" s="1"/>
      <c r="J466" s="1"/>
      <c r="K466" s="2"/>
      <c r="L466" s="2"/>
      <c r="M466" s="2"/>
      <c r="N466" s="3"/>
      <c r="O466" s="2"/>
      <c r="P466" s="1"/>
      <c r="Q466" s="1"/>
      <c r="R466" s="1"/>
      <c r="S466" s="1"/>
      <c r="T466" s="1"/>
      <c r="U466" s="1"/>
      <c r="V466" s="1"/>
      <c r="W466" s="1"/>
      <c r="X466" s="1"/>
      <c r="Y466" s="1"/>
      <c r="Z466" s="1"/>
    </row>
    <row r="467">
      <c r="A467" s="1"/>
      <c r="B467" s="1"/>
      <c r="C467" s="1"/>
      <c r="D467" s="1"/>
      <c r="E467" s="1"/>
      <c r="F467" s="1"/>
      <c r="G467" s="1"/>
      <c r="H467" s="1"/>
      <c r="I467" s="1"/>
      <c r="J467" s="1"/>
      <c r="K467" s="2"/>
      <c r="L467" s="2"/>
      <c r="M467" s="2"/>
      <c r="N467" s="3"/>
      <c r="O467" s="2"/>
      <c r="P467" s="1"/>
      <c r="Q467" s="1"/>
      <c r="R467" s="1"/>
      <c r="S467" s="1"/>
      <c r="T467" s="1"/>
      <c r="U467" s="1"/>
      <c r="V467" s="1"/>
      <c r="W467" s="1"/>
      <c r="X467" s="1"/>
      <c r="Y467" s="1"/>
      <c r="Z467" s="1"/>
    </row>
    <row r="468">
      <c r="A468" s="1"/>
      <c r="B468" s="1"/>
      <c r="C468" s="1"/>
      <c r="D468" s="1"/>
      <c r="E468" s="1"/>
      <c r="F468" s="1"/>
      <c r="G468" s="1"/>
      <c r="H468" s="1"/>
      <c r="I468" s="1"/>
      <c r="J468" s="1"/>
      <c r="K468" s="2"/>
      <c r="L468" s="2"/>
      <c r="M468" s="2"/>
      <c r="N468" s="3"/>
      <c r="O468" s="2"/>
      <c r="P468" s="1"/>
      <c r="Q468" s="1"/>
      <c r="R468" s="1"/>
      <c r="S468" s="1"/>
      <c r="T468" s="1"/>
      <c r="U468" s="1"/>
      <c r="V468" s="1"/>
      <c r="W468" s="1"/>
      <c r="X468" s="1"/>
      <c r="Y468" s="1"/>
      <c r="Z468" s="1"/>
    </row>
    <row r="469">
      <c r="A469" s="1"/>
      <c r="B469" s="1"/>
      <c r="C469" s="1"/>
      <c r="D469" s="1"/>
      <c r="E469" s="1"/>
      <c r="F469" s="1"/>
      <c r="G469" s="1"/>
      <c r="H469" s="1"/>
      <c r="I469" s="1"/>
      <c r="J469" s="1"/>
      <c r="K469" s="2"/>
      <c r="L469" s="2"/>
      <c r="M469" s="2"/>
      <c r="N469" s="3"/>
      <c r="O469" s="2"/>
      <c r="P469" s="1"/>
      <c r="Q469" s="1"/>
      <c r="R469" s="1"/>
      <c r="S469" s="1"/>
      <c r="T469" s="1"/>
      <c r="U469" s="1"/>
      <c r="V469" s="1"/>
      <c r="W469" s="1"/>
      <c r="X469" s="1"/>
      <c r="Y469" s="1"/>
      <c r="Z469" s="1"/>
    </row>
    <row r="470">
      <c r="A470" s="1"/>
      <c r="B470" s="1"/>
      <c r="C470" s="1"/>
      <c r="D470" s="1"/>
      <c r="E470" s="1"/>
      <c r="F470" s="1"/>
      <c r="G470" s="1"/>
      <c r="H470" s="1"/>
      <c r="I470" s="1"/>
      <c r="J470" s="1"/>
      <c r="K470" s="2"/>
      <c r="L470" s="2"/>
      <c r="M470" s="2"/>
      <c r="N470" s="3"/>
      <c r="O470" s="2"/>
      <c r="P470" s="1"/>
      <c r="Q470" s="1"/>
      <c r="R470" s="1"/>
      <c r="S470" s="1"/>
      <c r="T470" s="1"/>
      <c r="U470" s="1"/>
      <c r="V470" s="1"/>
      <c r="W470" s="1"/>
      <c r="X470" s="1"/>
      <c r="Y470" s="1"/>
      <c r="Z470" s="1"/>
    </row>
    <row r="471">
      <c r="A471" s="1"/>
      <c r="B471" s="1"/>
      <c r="C471" s="1"/>
      <c r="D471" s="1"/>
      <c r="E471" s="1"/>
      <c r="F471" s="1"/>
      <c r="G471" s="1"/>
      <c r="H471" s="1"/>
      <c r="I471" s="1"/>
      <c r="J471" s="1"/>
      <c r="K471" s="2"/>
      <c r="L471" s="2"/>
      <c r="M471" s="2"/>
      <c r="N471" s="3"/>
      <c r="O471" s="2"/>
      <c r="P471" s="1"/>
      <c r="Q471" s="1"/>
      <c r="R471" s="1"/>
      <c r="S471" s="1"/>
      <c r="T471" s="1"/>
      <c r="U471" s="1"/>
      <c r="V471" s="1"/>
      <c r="W471" s="1"/>
      <c r="X471" s="1"/>
      <c r="Y471" s="1"/>
      <c r="Z471" s="1"/>
    </row>
    <row r="472">
      <c r="A472" s="1"/>
      <c r="B472" s="1"/>
      <c r="C472" s="1"/>
      <c r="D472" s="1"/>
      <c r="E472" s="1"/>
      <c r="F472" s="1"/>
      <c r="G472" s="1"/>
      <c r="H472" s="1"/>
      <c r="I472" s="1"/>
      <c r="J472" s="1"/>
      <c r="K472" s="2"/>
      <c r="L472" s="2"/>
      <c r="M472" s="2"/>
      <c r="N472" s="3"/>
      <c r="O472" s="2"/>
      <c r="P472" s="1"/>
      <c r="Q472" s="1"/>
      <c r="R472" s="1"/>
      <c r="S472" s="1"/>
      <c r="T472" s="1"/>
      <c r="U472" s="1"/>
      <c r="V472" s="1"/>
      <c r="W472" s="1"/>
      <c r="X472" s="1"/>
      <c r="Y472" s="1"/>
      <c r="Z472" s="1"/>
    </row>
    <row r="473">
      <c r="A473" s="1"/>
      <c r="B473" s="1"/>
      <c r="C473" s="1"/>
      <c r="D473" s="1"/>
      <c r="E473" s="1"/>
      <c r="F473" s="1"/>
      <c r="G473" s="1"/>
      <c r="H473" s="1"/>
      <c r="I473" s="1"/>
      <c r="J473" s="1"/>
      <c r="K473" s="2"/>
      <c r="L473" s="2"/>
      <c r="M473" s="2"/>
      <c r="N473" s="3"/>
      <c r="O473" s="2"/>
      <c r="P473" s="1"/>
      <c r="Q473" s="1"/>
      <c r="R473" s="1"/>
      <c r="S473" s="1"/>
      <c r="T473" s="1"/>
      <c r="U473" s="1"/>
      <c r="V473" s="1"/>
      <c r="W473" s="1"/>
      <c r="X473" s="1"/>
      <c r="Y473" s="1"/>
      <c r="Z473" s="1"/>
    </row>
    <row r="474">
      <c r="A474" s="1"/>
      <c r="B474" s="1"/>
      <c r="C474" s="1"/>
      <c r="D474" s="1"/>
      <c r="E474" s="1"/>
      <c r="F474" s="1"/>
      <c r="G474" s="1"/>
      <c r="H474" s="1"/>
      <c r="I474" s="1"/>
      <c r="J474" s="1"/>
      <c r="K474" s="2"/>
      <c r="L474" s="2"/>
      <c r="M474" s="2"/>
      <c r="N474" s="3"/>
      <c r="O474" s="2"/>
      <c r="P474" s="1"/>
      <c r="Q474" s="1"/>
      <c r="R474" s="1"/>
      <c r="S474" s="1"/>
      <c r="T474" s="1"/>
      <c r="U474" s="1"/>
      <c r="V474" s="1"/>
      <c r="W474" s="1"/>
      <c r="X474" s="1"/>
      <c r="Y474" s="1"/>
      <c r="Z474" s="1"/>
    </row>
    <row r="475">
      <c r="A475" s="1"/>
      <c r="B475" s="1"/>
      <c r="C475" s="1"/>
      <c r="D475" s="1"/>
      <c r="E475" s="1"/>
      <c r="F475" s="1"/>
      <c r="G475" s="1"/>
      <c r="H475" s="1"/>
      <c r="I475" s="1"/>
      <c r="J475" s="1"/>
      <c r="K475" s="2"/>
      <c r="L475" s="2"/>
      <c r="M475" s="2"/>
      <c r="N475" s="3"/>
      <c r="O475" s="2"/>
      <c r="P475" s="1"/>
      <c r="Q475" s="1"/>
      <c r="R475" s="1"/>
      <c r="S475" s="1"/>
      <c r="T475" s="1"/>
      <c r="U475" s="1"/>
      <c r="V475" s="1"/>
      <c r="W475" s="1"/>
      <c r="X475" s="1"/>
      <c r="Y475" s="1"/>
      <c r="Z475" s="1"/>
    </row>
    <row r="476">
      <c r="A476" s="1"/>
      <c r="B476" s="1"/>
      <c r="C476" s="1"/>
      <c r="D476" s="1"/>
      <c r="E476" s="1"/>
      <c r="F476" s="1"/>
      <c r="G476" s="1"/>
      <c r="H476" s="1"/>
      <c r="I476" s="1"/>
      <c r="J476" s="1"/>
      <c r="K476" s="2"/>
      <c r="L476" s="2"/>
      <c r="M476" s="2"/>
      <c r="N476" s="3"/>
      <c r="O476" s="2"/>
      <c r="P476" s="1"/>
      <c r="Q476" s="1"/>
      <c r="R476" s="1"/>
      <c r="S476" s="1"/>
      <c r="T476" s="1"/>
      <c r="U476" s="1"/>
      <c r="V476" s="1"/>
      <c r="W476" s="1"/>
      <c r="X476" s="1"/>
      <c r="Y476" s="1"/>
      <c r="Z476" s="1"/>
    </row>
    <row r="477">
      <c r="A477" s="1"/>
      <c r="B477" s="1"/>
      <c r="C477" s="1"/>
      <c r="D477" s="1"/>
      <c r="E477" s="1"/>
      <c r="F477" s="1"/>
      <c r="G477" s="1"/>
      <c r="H477" s="1"/>
      <c r="I477" s="1"/>
      <c r="J477" s="1"/>
      <c r="K477" s="2"/>
      <c r="L477" s="2"/>
      <c r="M477" s="2"/>
      <c r="N477" s="3"/>
      <c r="O477" s="2"/>
      <c r="P477" s="1"/>
      <c r="Q477" s="1"/>
      <c r="R477" s="1"/>
      <c r="S477" s="1"/>
      <c r="T477" s="1"/>
      <c r="U477" s="1"/>
      <c r="V477" s="1"/>
      <c r="W477" s="1"/>
      <c r="X477" s="1"/>
      <c r="Y477" s="1"/>
      <c r="Z477" s="1"/>
    </row>
    <row r="478">
      <c r="A478" s="1"/>
      <c r="B478" s="1"/>
      <c r="C478" s="1"/>
      <c r="D478" s="1"/>
      <c r="E478" s="1"/>
      <c r="F478" s="1"/>
      <c r="G478" s="1"/>
      <c r="H478" s="1"/>
      <c r="I478" s="1"/>
      <c r="J478" s="1"/>
      <c r="K478" s="2"/>
      <c r="L478" s="2"/>
      <c r="M478" s="2"/>
      <c r="N478" s="3"/>
      <c r="O478" s="2"/>
      <c r="P478" s="1"/>
      <c r="Q478" s="1"/>
      <c r="R478" s="1"/>
      <c r="S478" s="1"/>
      <c r="T478" s="1"/>
      <c r="U478" s="1"/>
      <c r="V478" s="1"/>
      <c r="W478" s="1"/>
      <c r="X478" s="1"/>
      <c r="Y478" s="1"/>
      <c r="Z478" s="1"/>
    </row>
    <row r="479">
      <c r="A479" s="1"/>
      <c r="B479" s="1"/>
      <c r="C479" s="1"/>
      <c r="D479" s="1"/>
      <c r="E479" s="1"/>
      <c r="F479" s="1"/>
      <c r="G479" s="1"/>
      <c r="H479" s="1"/>
      <c r="I479" s="1"/>
      <c r="J479" s="1"/>
      <c r="K479" s="2"/>
      <c r="L479" s="2"/>
      <c r="M479" s="2"/>
      <c r="N479" s="3"/>
      <c r="O479" s="2"/>
      <c r="P479" s="1"/>
      <c r="Q479" s="1"/>
      <c r="R479" s="1"/>
      <c r="S479" s="1"/>
      <c r="T479" s="1"/>
      <c r="U479" s="1"/>
      <c r="V479" s="1"/>
      <c r="W479" s="1"/>
      <c r="X479" s="1"/>
      <c r="Y479" s="1"/>
      <c r="Z479" s="1"/>
    </row>
    <row r="480">
      <c r="A480" s="1"/>
      <c r="B480" s="1"/>
      <c r="C480" s="1"/>
      <c r="D480" s="1"/>
      <c r="E480" s="1"/>
      <c r="F480" s="1"/>
      <c r="G480" s="1"/>
      <c r="H480" s="1"/>
      <c r="I480" s="1"/>
      <c r="J480" s="1"/>
      <c r="K480" s="2"/>
      <c r="L480" s="2"/>
      <c r="M480" s="2"/>
      <c r="N480" s="3"/>
      <c r="O480" s="2"/>
      <c r="P480" s="1"/>
      <c r="Q480" s="1"/>
      <c r="R480" s="1"/>
      <c r="S480" s="1"/>
      <c r="T480" s="1"/>
      <c r="U480" s="1"/>
      <c r="V480" s="1"/>
      <c r="W480" s="1"/>
      <c r="X480" s="1"/>
      <c r="Y480" s="1"/>
      <c r="Z480" s="1"/>
    </row>
    <row r="481">
      <c r="A481" s="1"/>
      <c r="B481" s="1"/>
      <c r="C481" s="1"/>
      <c r="D481" s="1"/>
      <c r="E481" s="1"/>
      <c r="F481" s="1"/>
      <c r="G481" s="1"/>
      <c r="H481" s="1"/>
      <c r="I481" s="1"/>
      <c r="J481" s="1"/>
      <c r="K481" s="2"/>
      <c r="L481" s="2"/>
      <c r="M481" s="2"/>
      <c r="N481" s="3"/>
      <c r="O481" s="2"/>
      <c r="P481" s="1"/>
      <c r="Q481" s="1"/>
      <c r="R481" s="1"/>
      <c r="S481" s="1"/>
      <c r="T481" s="1"/>
      <c r="U481" s="1"/>
      <c r="V481" s="1"/>
      <c r="W481" s="1"/>
      <c r="X481" s="1"/>
      <c r="Y481" s="1"/>
      <c r="Z481" s="1"/>
    </row>
    <row r="482">
      <c r="A482" s="1"/>
      <c r="B482" s="1"/>
      <c r="C482" s="1"/>
      <c r="D482" s="1"/>
      <c r="E482" s="1"/>
      <c r="F482" s="1"/>
      <c r="G482" s="1"/>
      <c r="H482" s="1"/>
      <c r="I482" s="1"/>
      <c r="J482" s="1"/>
      <c r="K482" s="2"/>
      <c r="L482" s="2"/>
      <c r="M482" s="2"/>
      <c r="N482" s="3"/>
      <c r="O482" s="2"/>
      <c r="P482" s="1"/>
      <c r="Q482" s="1"/>
      <c r="R482" s="1"/>
      <c r="S482" s="1"/>
      <c r="T482" s="1"/>
      <c r="U482" s="1"/>
      <c r="V482" s="1"/>
      <c r="W482" s="1"/>
      <c r="X482" s="1"/>
      <c r="Y482" s="1"/>
      <c r="Z482" s="1"/>
    </row>
    <row r="483">
      <c r="A483" s="1"/>
      <c r="B483" s="1"/>
      <c r="C483" s="1"/>
      <c r="D483" s="1"/>
      <c r="E483" s="1"/>
      <c r="F483" s="1"/>
      <c r="G483" s="1"/>
      <c r="H483" s="1"/>
      <c r="I483" s="1"/>
      <c r="J483" s="1"/>
      <c r="K483" s="2"/>
      <c r="L483" s="2"/>
      <c r="M483" s="2"/>
      <c r="N483" s="3"/>
      <c r="O483" s="2"/>
      <c r="P483" s="1"/>
      <c r="Q483" s="1"/>
      <c r="R483" s="1"/>
      <c r="S483" s="1"/>
      <c r="T483" s="1"/>
      <c r="U483" s="1"/>
      <c r="V483" s="1"/>
      <c r="W483" s="1"/>
      <c r="X483" s="1"/>
      <c r="Y483" s="1"/>
      <c r="Z483" s="1"/>
    </row>
    <row r="484">
      <c r="A484" s="1"/>
      <c r="B484" s="1"/>
      <c r="C484" s="1"/>
      <c r="D484" s="1"/>
      <c r="E484" s="1"/>
      <c r="F484" s="1"/>
      <c r="G484" s="1"/>
      <c r="H484" s="1"/>
      <c r="I484" s="1"/>
      <c r="J484" s="1"/>
      <c r="K484" s="2"/>
      <c r="L484" s="2"/>
      <c r="M484" s="2"/>
      <c r="N484" s="3"/>
      <c r="O484" s="2"/>
      <c r="P484" s="1"/>
      <c r="Q484" s="1"/>
      <c r="R484" s="1"/>
      <c r="S484" s="1"/>
      <c r="T484" s="1"/>
      <c r="U484" s="1"/>
      <c r="V484" s="1"/>
      <c r="W484" s="1"/>
      <c r="X484" s="1"/>
      <c r="Y484" s="1"/>
      <c r="Z484" s="1"/>
    </row>
    <row r="485">
      <c r="A485" s="1"/>
      <c r="B485" s="1"/>
      <c r="C485" s="1"/>
      <c r="D485" s="1"/>
      <c r="E485" s="1"/>
      <c r="F485" s="1"/>
      <c r="G485" s="1"/>
      <c r="H485" s="1"/>
      <c r="I485" s="1"/>
      <c r="J485" s="1"/>
      <c r="K485" s="2"/>
      <c r="L485" s="2"/>
      <c r="M485" s="2"/>
      <c r="N485" s="3"/>
      <c r="O485" s="2"/>
      <c r="P485" s="1"/>
      <c r="Q485" s="1"/>
      <c r="R485" s="1"/>
      <c r="S485" s="1"/>
      <c r="T485" s="1"/>
      <c r="U485" s="1"/>
      <c r="V485" s="1"/>
      <c r="W485" s="1"/>
      <c r="X485" s="1"/>
      <c r="Y485" s="1"/>
      <c r="Z485" s="1"/>
    </row>
    <row r="486">
      <c r="A486" s="1"/>
      <c r="B486" s="1"/>
      <c r="C486" s="1"/>
      <c r="D486" s="1"/>
      <c r="E486" s="1"/>
      <c r="F486" s="1"/>
      <c r="G486" s="1"/>
      <c r="H486" s="1"/>
      <c r="I486" s="1"/>
      <c r="J486" s="1"/>
      <c r="K486" s="2"/>
      <c r="L486" s="2"/>
      <c r="M486" s="2"/>
      <c r="N486" s="3"/>
      <c r="O486" s="2"/>
      <c r="P486" s="1"/>
      <c r="Q486" s="1"/>
      <c r="R486" s="1"/>
      <c r="S486" s="1"/>
      <c r="T486" s="1"/>
      <c r="U486" s="1"/>
      <c r="V486" s="1"/>
      <c r="W486" s="1"/>
      <c r="X486" s="1"/>
      <c r="Y486" s="1"/>
      <c r="Z486" s="1"/>
    </row>
    <row r="487">
      <c r="A487" s="1"/>
      <c r="B487" s="1"/>
      <c r="C487" s="1"/>
      <c r="D487" s="1"/>
      <c r="E487" s="1"/>
      <c r="F487" s="1"/>
      <c r="G487" s="1"/>
      <c r="H487" s="1"/>
      <c r="I487" s="1"/>
      <c r="J487" s="1"/>
      <c r="K487" s="2"/>
      <c r="L487" s="2"/>
      <c r="M487" s="2"/>
      <c r="N487" s="3"/>
      <c r="O487" s="2"/>
      <c r="P487" s="1"/>
      <c r="Q487" s="1"/>
      <c r="R487" s="1"/>
      <c r="S487" s="1"/>
      <c r="T487" s="1"/>
      <c r="U487" s="1"/>
      <c r="V487" s="1"/>
      <c r="W487" s="1"/>
      <c r="X487" s="1"/>
      <c r="Y487" s="1"/>
      <c r="Z487" s="1"/>
    </row>
    <row r="488">
      <c r="A488" s="1"/>
      <c r="B488" s="1"/>
      <c r="C488" s="1"/>
      <c r="D488" s="1"/>
      <c r="E488" s="1"/>
      <c r="F488" s="1"/>
      <c r="G488" s="1"/>
      <c r="H488" s="1"/>
      <c r="I488" s="1"/>
      <c r="J488" s="1"/>
      <c r="K488" s="2"/>
      <c r="L488" s="2"/>
      <c r="M488" s="2"/>
      <c r="N488" s="3"/>
      <c r="O488" s="2"/>
      <c r="P488" s="1"/>
      <c r="Q488" s="1"/>
      <c r="R488" s="1"/>
      <c r="S488" s="1"/>
      <c r="T488" s="1"/>
      <c r="U488" s="1"/>
      <c r="V488" s="1"/>
      <c r="W488" s="1"/>
      <c r="X488" s="1"/>
      <c r="Y488" s="1"/>
      <c r="Z488" s="1"/>
    </row>
    <row r="489">
      <c r="A489" s="1"/>
      <c r="B489" s="1"/>
      <c r="C489" s="1"/>
      <c r="D489" s="1"/>
      <c r="E489" s="1"/>
      <c r="F489" s="1"/>
      <c r="G489" s="1"/>
      <c r="H489" s="1"/>
      <c r="I489" s="1"/>
      <c r="J489" s="1"/>
      <c r="K489" s="2"/>
      <c r="L489" s="2"/>
      <c r="M489" s="2"/>
      <c r="N489" s="3"/>
      <c r="O489" s="2"/>
      <c r="P489" s="1"/>
      <c r="Q489" s="1"/>
      <c r="R489" s="1"/>
      <c r="S489" s="1"/>
      <c r="T489" s="1"/>
      <c r="U489" s="1"/>
      <c r="V489" s="1"/>
      <c r="W489" s="1"/>
      <c r="X489" s="1"/>
      <c r="Y489" s="1"/>
      <c r="Z489" s="1"/>
    </row>
    <row r="490">
      <c r="A490" s="1"/>
      <c r="B490" s="1"/>
      <c r="C490" s="1"/>
      <c r="D490" s="1"/>
      <c r="E490" s="1"/>
      <c r="F490" s="1"/>
      <c r="G490" s="1"/>
      <c r="H490" s="1"/>
      <c r="I490" s="1"/>
      <c r="J490" s="1"/>
      <c r="K490" s="2"/>
      <c r="L490" s="2"/>
      <c r="M490" s="2"/>
      <c r="N490" s="3"/>
      <c r="O490" s="2"/>
      <c r="P490" s="1"/>
      <c r="Q490" s="1"/>
      <c r="R490" s="1"/>
      <c r="S490" s="1"/>
      <c r="T490" s="1"/>
      <c r="U490" s="1"/>
      <c r="V490" s="1"/>
      <c r="W490" s="1"/>
      <c r="X490" s="1"/>
      <c r="Y490" s="1"/>
      <c r="Z490" s="1"/>
    </row>
    <row r="491">
      <c r="A491" s="1"/>
      <c r="B491" s="1"/>
      <c r="C491" s="1"/>
      <c r="D491" s="1"/>
      <c r="E491" s="1"/>
      <c r="F491" s="1"/>
      <c r="G491" s="1"/>
      <c r="H491" s="1"/>
      <c r="I491" s="1"/>
      <c r="J491" s="1"/>
      <c r="K491" s="2"/>
      <c r="L491" s="2"/>
      <c r="M491" s="2"/>
      <c r="N491" s="3"/>
      <c r="O491" s="2"/>
      <c r="P491" s="1"/>
      <c r="Q491" s="1"/>
      <c r="R491" s="1"/>
      <c r="S491" s="1"/>
      <c r="T491" s="1"/>
      <c r="U491" s="1"/>
      <c r="V491" s="1"/>
      <c r="W491" s="1"/>
      <c r="X491" s="1"/>
      <c r="Y491" s="1"/>
      <c r="Z491" s="1"/>
    </row>
    <row r="492">
      <c r="A492" s="1"/>
      <c r="B492" s="1"/>
      <c r="C492" s="1"/>
      <c r="D492" s="1"/>
      <c r="E492" s="1"/>
      <c r="F492" s="1"/>
      <c r="G492" s="1"/>
      <c r="H492" s="1"/>
      <c r="I492" s="1"/>
      <c r="J492" s="1"/>
      <c r="K492" s="2"/>
      <c r="L492" s="2"/>
      <c r="M492" s="2"/>
      <c r="N492" s="3"/>
      <c r="O492" s="2"/>
      <c r="P492" s="1"/>
      <c r="Q492" s="1"/>
      <c r="R492" s="1"/>
      <c r="S492" s="1"/>
      <c r="T492" s="1"/>
      <c r="U492" s="1"/>
      <c r="V492" s="1"/>
      <c r="W492" s="1"/>
      <c r="X492" s="1"/>
      <c r="Y492" s="1"/>
      <c r="Z492" s="1"/>
    </row>
    <row r="493">
      <c r="A493" s="1"/>
      <c r="B493" s="1"/>
      <c r="C493" s="1"/>
      <c r="D493" s="1"/>
      <c r="E493" s="1"/>
      <c r="F493" s="1"/>
      <c r="G493" s="1"/>
      <c r="H493" s="1"/>
      <c r="I493" s="1"/>
      <c r="J493" s="1"/>
      <c r="K493" s="2"/>
      <c r="L493" s="2"/>
      <c r="M493" s="2"/>
      <c r="N493" s="3"/>
      <c r="O493" s="2"/>
      <c r="P493" s="1"/>
      <c r="Q493" s="1"/>
      <c r="R493" s="1"/>
      <c r="S493" s="1"/>
      <c r="T493" s="1"/>
      <c r="U493" s="1"/>
      <c r="V493" s="1"/>
      <c r="W493" s="1"/>
      <c r="X493" s="1"/>
      <c r="Y493" s="1"/>
      <c r="Z493" s="1"/>
    </row>
    <row r="494">
      <c r="A494" s="1"/>
      <c r="B494" s="1"/>
      <c r="C494" s="1"/>
      <c r="D494" s="1"/>
      <c r="E494" s="1"/>
      <c r="F494" s="1"/>
      <c r="G494" s="1"/>
      <c r="H494" s="1"/>
      <c r="I494" s="1"/>
      <c r="J494" s="1"/>
      <c r="K494" s="2"/>
      <c r="L494" s="2"/>
      <c r="M494" s="2"/>
      <c r="N494" s="3"/>
      <c r="O494" s="2"/>
      <c r="P494" s="1"/>
      <c r="Q494" s="1"/>
      <c r="R494" s="1"/>
      <c r="S494" s="1"/>
      <c r="T494" s="1"/>
      <c r="U494" s="1"/>
      <c r="V494" s="1"/>
      <c r="W494" s="1"/>
      <c r="X494" s="1"/>
      <c r="Y494" s="1"/>
      <c r="Z494" s="1"/>
    </row>
    <row r="495">
      <c r="A495" s="1"/>
      <c r="B495" s="1"/>
      <c r="C495" s="1"/>
      <c r="D495" s="1"/>
      <c r="E495" s="1"/>
      <c r="F495" s="1"/>
      <c r="G495" s="1"/>
      <c r="H495" s="1"/>
      <c r="I495" s="1"/>
      <c r="J495" s="1"/>
      <c r="K495" s="2"/>
      <c r="L495" s="2"/>
      <c r="M495" s="2"/>
      <c r="N495" s="3"/>
      <c r="O495" s="2"/>
      <c r="P495" s="1"/>
      <c r="Q495" s="1"/>
      <c r="R495" s="1"/>
      <c r="S495" s="1"/>
      <c r="T495" s="1"/>
      <c r="U495" s="1"/>
      <c r="V495" s="1"/>
      <c r="W495" s="1"/>
      <c r="X495" s="1"/>
      <c r="Y495" s="1"/>
      <c r="Z495" s="1"/>
    </row>
    <row r="496">
      <c r="A496" s="1"/>
      <c r="B496" s="1"/>
      <c r="C496" s="1"/>
      <c r="D496" s="1"/>
      <c r="E496" s="1"/>
      <c r="F496" s="1"/>
      <c r="G496" s="1"/>
      <c r="H496" s="1"/>
      <c r="I496" s="1"/>
      <c r="J496" s="1"/>
      <c r="K496" s="2"/>
      <c r="L496" s="2"/>
      <c r="M496" s="2"/>
      <c r="N496" s="3"/>
      <c r="O496" s="2"/>
      <c r="P496" s="1"/>
      <c r="Q496" s="1"/>
      <c r="R496" s="1"/>
      <c r="S496" s="1"/>
      <c r="T496" s="1"/>
      <c r="U496" s="1"/>
      <c r="V496" s="1"/>
      <c r="W496" s="1"/>
      <c r="X496" s="1"/>
      <c r="Y496" s="1"/>
      <c r="Z496" s="1"/>
    </row>
    <row r="497">
      <c r="A497" s="1"/>
      <c r="B497" s="1"/>
      <c r="C497" s="1"/>
      <c r="D497" s="1"/>
      <c r="E497" s="1"/>
      <c r="F497" s="1"/>
      <c r="G497" s="1"/>
      <c r="H497" s="1"/>
      <c r="I497" s="1"/>
      <c r="J497" s="1"/>
      <c r="K497" s="2"/>
      <c r="L497" s="2"/>
      <c r="M497" s="2"/>
      <c r="N497" s="3"/>
      <c r="O497" s="2"/>
      <c r="P497" s="1"/>
      <c r="Q497" s="1"/>
      <c r="R497" s="1"/>
      <c r="S497" s="1"/>
      <c r="T497" s="1"/>
      <c r="U497" s="1"/>
      <c r="V497" s="1"/>
      <c r="W497" s="1"/>
      <c r="X497" s="1"/>
      <c r="Y497" s="1"/>
      <c r="Z497" s="1"/>
    </row>
    <row r="498">
      <c r="A498" s="1"/>
      <c r="B498" s="1"/>
      <c r="C498" s="1"/>
      <c r="D498" s="1"/>
      <c r="E498" s="1"/>
      <c r="F498" s="1"/>
      <c r="G498" s="1"/>
      <c r="H498" s="1"/>
      <c r="I498" s="1"/>
      <c r="J498" s="1"/>
      <c r="K498" s="2"/>
      <c r="L498" s="2"/>
      <c r="M498" s="2"/>
      <c r="N498" s="3"/>
      <c r="O498" s="2"/>
      <c r="P498" s="1"/>
      <c r="Q498" s="1"/>
      <c r="R498" s="1"/>
      <c r="S498" s="1"/>
      <c r="T498" s="1"/>
      <c r="U498" s="1"/>
      <c r="V498" s="1"/>
      <c r="W498" s="1"/>
      <c r="X498" s="1"/>
      <c r="Y498" s="1"/>
      <c r="Z498" s="1"/>
    </row>
    <row r="499">
      <c r="A499" s="1"/>
      <c r="B499" s="1"/>
      <c r="C499" s="1"/>
      <c r="D499" s="1"/>
      <c r="E499" s="1"/>
      <c r="F499" s="1"/>
      <c r="G499" s="1"/>
      <c r="H499" s="1"/>
      <c r="I499" s="1"/>
      <c r="J499" s="1"/>
      <c r="K499" s="2"/>
      <c r="L499" s="2"/>
      <c r="M499" s="2"/>
      <c r="N499" s="3"/>
      <c r="O499" s="2"/>
      <c r="P499" s="1"/>
      <c r="Q499" s="1"/>
      <c r="R499" s="1"/>
      <c r="S499" s="1"/>
      <c r="T499" s="1"/>
      <c r="U499" s="1"/>
      <c r="V499" s="1"/>
      <c r="W499" s="1"/>
      <c r="X499" s="1"/>
      <c r="Y499" s="1"/>
      <c r="Z499" s="1"/>
    </row>
    <row r="500">
      <c r="A500" s="1"/>
      <c r="B500" s="1"/>
      <c r="C500" s="1"/>
      <c r="D500" s="1"/>
      <c r="E500" s="1"/>
      <c r="F500" s="1"/>
      <c r="G500" s="1"/>
      <c r="H500" s="1"/>
      <c r="I500" s="1"/>
      <c r="J500" s="1"/>
      <c r="K500" s="2"/>
      <c r="L500" s="2"/>
      <c r="M500" s="2"/>
      <c r="N500" s="3"/>
      <c r="O500" s="2"/>
      <c r="P500" s="1"/>
      <c r="Q500" s="1"/>
      <c r="R500" s="1"/>
      <c r="S500" s="1"/>
      <c r="T500" s="1"/>
      <c r="U500" s="1"/>
      <c r="V500" s="1"/>
      <c r="W500" s="1"/>
      <c r="X500" s="1"/>
      <c r="Y500" s="1"/>
      <c r="Z500" s="1"/>
    </row>
    <row r="501">
      <c r="A501" s="1"/>
      <c r="B501" s="1"/>
      <c r="C501" s="1"/>
      <c r="D501" s="1"/>
      <c r="E501" s="1"/>
      <c r="F501" s="1"/>
      <c r="G501" s="1"/>
      <c r="H501" s="1"/>
      <c r="I501" s="1"/>
      <c r="J501" s="1"/>
      <c r="K501" s="2"/>
      <c r="L501" s="2"/>
      <c r="M501" s="2"/>
      <c r="N501" s="3"/>
      <c r="O501" s="2"/>
      <c r="P501" s="1"/>
      <c r="Q501" s="1"/>
      <c r="R501" s="1"/>
      <c r="S501" s="1"/>
      <c r="T501" s="1"/>
      <c r="U501" s="1"/>
      <c r="V501" s="1"/>
      <c r="W501" s="1"/>
      <c r="X501" s="1"/>
      <c r="Y501" s="1"/>
      <c r="Z501" s="1"/>
    </row>
    <row r="502">
      <c r="A502" s="1"/>
      <c r="B502" s="1"/>
      <c r="C502" s="1"/>
      <c r="D502" s="1"/>
      <c r="E502" s="1"/>
      <c r="F502" s="1"/>
      <c r="G502" s="1"/>
      <c r="H502" s="1"/>
      <c r="I502" s="1"/>
      <c r="J502" s="1"/>
      <c r="K502" s="2"/>
      <c r="L502" s="2"/>
      <c r="M502" s="2"/>
      <c r="N502" s="3"/>
      <c r="O502" s="2"/>
      <c r="P502" s="1"/>
      <c r="Q502" s="1"/>
      <c r="R502" s="1"/>
      <c r="S502" s="1"/>
      <c r="T502" s="1"/>
      <c r="U502" s="1"/>
      <c r="V502" s="1"/>
      <c r="W502" s="1"/>
      <c r="X502" s="1"/>
      <c r="Y502" s="1"/>
      <c r="Z502" s="1"/>
    </row>
    <row r="503">
      <c r="A503" s="1"/>
      <c r="B503" s="1"/>
      <c r="C503" s="1"/>
      <c r="D503" s="1"/>
      <c r="E503" s="1"/>
      <c r="F503" s="1"/>
      <c r="G503" s="1"/>
      <c r="H503" s="1"/>
      <c r="I503" s="1"/>
      <c r="J503" s="1"/>
      <c r="K503" s="2"/>
      <c r="L503" s="2"/>
      <c r="M503" s="2"/>
      <c r="N503" s="3"/>
      <c r="O503" s="2"/>
      <c r="P503" s="1"/>
      <c r="Q503" s="1"/>
      <c r="R503" s="1"/>
      <c r="S503" s="1"/>
      <c r="T503" s="1"/>
      <c r="U503" s="1"/>
      <c r="V503" s="1"/>
      <c r="W503" s="1"/>
      <c r="X503" s="1"/>
      <c r="Y503" s="1"/>
      <c r="Z503" s="1"/>
    </row>
    <row r="504">
      <c r="A504" s="1"/>
      <c r="B504" s="1"/>
      <c r="C504" s="1"/>
      <c r="D504" s="1"/>
      <c r="E504" s="1"/>
      <c r="F504" s="1"/>
      <c r="G504" s="1"/>
      <c r="H504" s="1"/>
      <c r="I504" s="1"/>
      <c r="J504" s="1"/>
      <c r="K504" s="2"/>
      <c r="L504" s="2"/>
      <c r="M504" s="2"/>
      <c r="N504" s="3"/>
      <c r="O504" s="2"/>
      <c r="P504" s="1"/>
      <c r="Q504" s="1"/>
      <c r="R504" s="1"/>
      <c r="S504" s="1"/>
      <c r="T504" s="1"/>
      <c r="U504" s="1"/>
      <c r="V504" s="1"/>
      <c r="W504" s="1"/>
      <c r="X504" s="1"/>
      <c r="Y504" s="1"/>
      <c r="Z504" s="1"/>
    </row>
    <row r="505">
      <c r="A505" s="1"/>
      <c r="B505" s="1"/>
      <c r="C505" s="1"/>
      <c r="D505" s="1"/>
      <c r="E505" s="1"/>
      <c r="F505" s="1"/>
      <c r="G505" s="1"/>
      <c r="H505" s="1"/>
      <c r="I505" s="1"/>
      <c r="J505" s="1"/>
      <c r="K505" s="2"/>
      <c r="L505" s="2"/>
      <c r="M505" s="2"/>
      <c r="N505" s="3"/>
      <c r="O505" s="2"/>
      <c r="P505" s="1"/>
      <c r="Q505" s="1"/>
      <c r="R505" s="1"/>
      <c r="S505" s="1"/>
      <c r="T505" s="1"/>
      <c r="U505" s="1"/>
      <c r="V505" s="1"/>
      <c r="W505" s="1"/>
      <c r="X505" s="1"/>
      <c r="Y505" s="1"/>
      <c r="Z505" s="1"/>
    </row>
    <row r="506">
      <c r="A506" s="1"/>
      <c r="B506" s="1"/>
      <c r="C506" s="1"/>
      <c r="D506" s="1"/>
      <c r="E506" s="1"/>
      <c r="F506" s="1"/>
      <c r="G506" s="1"/>
      <c r="H506" s="1"/>
      <c r="I506" s="1"/>
      <c r="J506" s="1"/>
      <c r="K506" s="2"/>
      <c r="L506" s="2"/>
      <c r="M506" s="2"/>
      <c r="N506" s="3"/>
      <c r="O506" s="2"/>
      <c r="P506" s="1"/>
      <c r="Q506" s="1"/>
      <c r="R506" s="1"/>
      <c r="S506" s="1"/>
      <c r="T506" s="1"/>
      <c r="U506" s="1"/>
      <c r="V506" s="1"/>
      <c r="W506" s="1"/>
      <c r="X506" s="1"/>
      <c r="Y506" s="1"/>
      <c r="Z506" s="1"/>
    </row>
    <row r="507">
      <c r="A507" s="1"/>
      <c r="B507" s="1"/>
      <c r="C507" s="1"/>
      <c r="D507" s="1"/>
      <c r="E507" s="1"/>
      <c r="F507" s="1"/>
      <c r="G507" s="1"/>
      <c r="H507" s="1"/>
      <c r="I507" s="1"/>
      <c r="J507" s="1"/>
      <c r="K507" s="2"/>
      <c r="L507" s="2"/>
      <c r="M507" s="2"/>
      <c r="N507" s="3"/>
      <c r="O507" s="2"/>
      <c r="P507" s="1"/>
      <c r="Q507" s="1"/>
      <c r="R507" s="1"/>
      <c r="S507" s="1"/>
      <c r="T507" s="1"/>
      <c r="U507" s="1"/>
      <c r="V507" s="1"/>
      <c r="W507" s="1"/>
      <c r="X507" s="1"/>
      <c r="Y507" s="1"/>
      <c r="Z507" s="1"/>
    </row>
    <row r="508">
      <c r="A508" s="1"/>
      <c r="B508" s="1"/>
      <c r="C508" s="1"/>
      <c r="D508" s="1"/>
      <c r="E508" s="1"/>
      <c r="F508" s="1"/>
      <c r="G508" s="1"/>
      <c r="H508" s="1"/>
      <c r="I508" s="1"/>
      <c r="J508" s="1"/>
      <c r="K508" s="2"/>
      <c r="L508" s="2"/>
      <c r="M508" s="2"/>
      <c r="N508" s="3"/>
      <c r="O508" s="2"/>
      <c r="P508" s="1"/>
      <c r="Q508" s="1"/>
      <c r="R508" s="1"/>
      <c r="S508" s="1"/>
      <c r="T508" s="1"/>
      <c r="U508" s="1"/>
      <c r="V508" s="1"/>
      <c r="W508" s="1"/>
      <c r="X508" s="1"/>
      <c r="Y508" s="1"/>
      <c r="Z508" s="1"/>
    </row>
    <row r="509">
      <c r="A509" s="1"/>
      <c r="B509" s="1"/>
      <c r="C509" s="1"/>
      <c r="D509" s="1"/>
      <c r="E509" s="1"/>
      <c r="F509" s="1"/>
      <c r="G509" s="1"/>
      <c r="H509" s="1"/>
      <c r="I509" s="1"/>
      <c r="J509" s="1"/>
      <c r="K509" s="2"/>
      <c r="L509" s="2"/>
      <c r="M509" s="2"/>
      <c r="N509" s="3"/>
      <c r="O509" s="2"/>
      <c r="P509" s="1"/>
      <c r="Q509" s="1"/>
      <c r="R509" s="1"/>
      <c r="S509" s="1"/>
      <c r="T509" s="1"/>
      <c r="U509" s="1"/>
      <c r="V509" s="1"/>
      <c r="W509" s="1"/>
      <c r="X509" s="1"/>
      <c r="Y509" s="1"/>
      <c r="Z509" s="1"/>
    </row>
    <row r="510">
      <c r="A510" s="1"/>
      <c r="B510" s="1"/>
      <c r="C510" s="1"/>
      <c r="D510" s="1"/>
      <c r="E510" s="1"/>
      <c r="F510" s="1"/>
      <c r="G510" s="1"/>
      <c r="H510" s="1"/>
      <c r="I510" s="1"/>
      <c r="J510" s="1"/>
      <c r="K510" s="2"/>
      <c r="L510" s="2"/>
      <c r="M510" s="2"/>
      <c r="N510" s="3"/>
      <c r="O510" s="2"/>
      <c r="P510" s="1"/>
      <c r="Q510" s="1"/>
      <c r="R510" s="1"/>
      <c r="S510" s="1"/>
      <c r="T510" s="1"/>
      <c r="U510" s="1"/>
      <c r="V510" s="1"/>
      <c r="W510" s="1"/>
      <c r="X510" s="1"/>
      <c r="Y510" s="1"/>
      <c r="Z510" s="1"/>
    </row>
    <row r="511">
      <c r="A511" s="1"/>
      <c r="B511" s="1"/>
      <c r="C511" s="1"/>
      <c r="D511" s="1"/>
      <c r="E511" s="1"/>
      <c r="F511" s="1"/>
      <c r="G511" s="1"/>
      <c r="H511" s="1"/>
      <c r="I511" s="1"/>
      <c r="J511" s="1"/>
      <c r="K511" s="2"/>
      <c r="L511" s="2"/>
      <c r="M511" s="2"/>
      <c r="N511" s="3"/>
      <c r="O511" s="2"/>
      <c r="P511" s="1"/>
      <c r="Q511" s="1"/>
      <c r="R511" s="1"/>
      <c r="S511" s="1"/>
      <c r="T511" s="1"/>
      <c r="U511" s="1"/>
      <c r="V511" s="1"/>
      <c r="W511" s="1"/>
      <c r="X511" s="1"/>
      <c r="Y511" s="1"/>
      <c r="Z511" s="1"/>
    </row>
    <row r="512">
      <c r="A512" s="1"/>
      <c r="B512" s="1"/>
      <c r="C512" s="1"/>
      <c r="D512" s="1"/>
      <c r="E512" s="1"/>
      <c r="F512" s="1"/>
      <c r="G512" s="1"/>
      <c r="H512" s="1"/>
      <c r="I512" s="1"/>
      <c r="J512" s="1"/>
      <c r="K512" s="2"/>
      <c r="L512" s="2"/>
      <c r="M512" s="2"/>
      <c r="N512" s="3"/>
      <c r="O512" s="2"/>
      <c r="P512" s="1"/>
      <c r="Q512" s="1"/>
      <c r="R512" s="1"/>
      <c r="S512" s="1"/>
      <c r="T512" s="1"/>
      <c r="U512" s="1"/>
      <c r="V512" s="1"/>
      <c r="W512" s="1"/>
      <c r="X512" s="1"/>
      <c r="Y512" s="1"/>
      <c r="Z512" s="1"/>
    </row>
    <row r="513">
      <c r="A513" s="1"/>
      <c r="B513" s="1"/>
      <c r="C513" s="1"/>
      <c r="D513" s="1"/>
      <c r="E513" s="1"/>
      <c r="F513" s="1"/>
      <c r="G513" s="1"/>
      <c r="H513" s="1"/>
      <c r="I513" s="1"/>
      <c r="J513" s="1"/>
      <c r="K513" s="2"/>
      <c r="L513" s="2"/>
      <c r="M513" s="2"/>
      <c r="N513" s="3"/>
      <c r="O513" s="2"/>
      <c r="P513" s="1"/>
      <c r="Q513" s="1"/>
      <c r="R513" s="1"/>
      <c r="S513" s="1"/>
      <c r="T513" s="1"/>
      <c r="U513" s="1"/>
      <c r="V513" s="1"/>
      <c r="W513" s="1"/>
      <c r="X513" s="1"/>
      <c r="Y513" s="1"/>
      <c r="Z513" s="1"/>
    </row>
    <row r="514">
      <c r="A514" s="1"/>
      <c r="B514" s="1"/>
      <c r="C514" s="1"/>
      <c r="D514" s="1"/>
      <c r="E514" s="1"/>
      <c r="F514" s="1"/>
      <c r="G514" s="1"/>
      <c r="H514" s="1"/>
      <c r="I514" s="1"/>
      <c r="J514" s="1"/>
      <c r="K514" s="2"/>
      <c r="L514" s="2"/>
      <c r="M514" s="2"/>
      <c r="N514" s="3"/>
      <c r="O514" s="2"/>
      <c r="P514" s="1"/>
      <c r="Q514" s="1"/>
      <c r="R514" s="1"/>
      <c r="S514" s="1"/>
      <c r="T514" s="1"/>
      <c r="U514" s="1"/>
      <c r="V514" s="1"/>
      <c r="W514" s="1"/>
      <c r="X514" s="1"/>
      <c r="Y514" s="1"/>
      <c r="Z514" s="1"/>
    </row>
    <row r="515">
      <c r="A515" s="1"/>
      <c r="B515" s="1"/>
      <c r="C515" s="1"/>
      <c r="D515" s="1"/>
      <c r="E515" s="1"/>
      <c r="F515" s="1"/>
      <c r="G515" s="1"/>
      <c r="H515" s="1"/>
      <c r="I515" s="1"/>
      <c r="J515" s="1"/>
      <c r="K515" s="2"/>
      <c r="L515" s="2"/>
      <c r="M515" s="2"/>
      <c r="N515" s="3"/>
      <c r="O515" s="2"/>
      <c r="P515" s="1"/>
      <c r="Q515" s="1"/>
      <c r="R515" s="1"/>
      <c r="S515" s="1"/>
      <c r="T515" s="1"/>
      <c r="U515" s="1"/>
      <c r="V515" s="1"/>
      <c r="W515" s="1"/>
      <c r="X515" s="1"/>
      <c r="Y515" s="1"/>
      <c r="Z515" s="1"/>
    </row>
    <row r="516">
      <c r="A516" s="1"/>
      <c r="B516" s="1"/>
      <c r="C516" s="1"/>
      <c r="D516" s="1"/>
      <c r="E516" s="1"/>
      <c r="F516" s="1"/>
      <c r="G516" s="1"/>
      <c r="H516" s="1"/>
      <c r="I516" s="1"/>
      <c r="J516" s="1"/>
      <c r="K516" s="2"/>
      <c r="L516" s="2"/>
      <c r="M516" s="2"/>
      <c r="N516" s="3"/>
      <c r="O516" s="2"/>
      <c r="P516" s="1"/>
      <c r="Q516" s="1"/>
      <c r="R516" s="1"/>
      <c r="S516" s="1"/>
      <c r="T516" s="1"/>
      <c r="U516" s="1"/>
      <c r="V516" s="1"/>
      <c r="W516" s="1"/>
      <c r="X516" s="1"/>
      <c r="Y516" s="1"/>
      <c r="Z516" s="1"/>
    </row>
    <row r="517">
      <c r="A517" s="1"/>
      <c r="B517" s="1"/>
      <c r="C517" s="1"/>
      <c r="D517" s="1"/>
      <c r="E517" s="1"/>
      <c r="F517" s="1"/>
      <c r="G517" s="1"/>
      <c r="H517" s="1"/>
      <c r="I517" s="1"/>
      <c r="J517" s="1"/>
      <c r="K517" s="2"/>
      <c r="L517" s="2"/>
      <c r="M517" s="2"/>
      <c r="N517" s="3"/>
      <c r="O517" s="2"/>
      <c r="P517" s="1"/>
      <c r="Q517" s="1"/>
      <c r="R517" s="1"/>
      <c r="S517" s="1"/>
      <c r="T517" s="1"/>
      <c r="U517" s="1"/>
      <c r="V517" s="1"/>
      <c r="W517" s="1"/>
      <c r="X517" s="1"/>
      <c r="Y517" s="1"/>
      <c r="Z517" s="1"/>
    </row>
    <row r="518">
      <c r="A518" s="1"/>
      <c r="B518" s="1"/>
      <c r="C518" s="1"/>
      <c r="D518" s="1"/>
      <c r="E518" s="1"/>
      <c r="F518" s="1"/>
      <c r="G518" s="1"/>
      <c r="H518" s="1"/>
      <c r="I518" s="1"/>
      <c r="J518" s="1"/>
      <c r="K518" s="2"/>
      <c r="L518" s="2"/>
      <c r="M518" s="2"/>
      <c r="N518" s="3"/>
      <c r="O518" s="2"/>
      <c r="P518" s="1"/>
      <c r="Q518" s="1"/>
      <c r="R518" s="1"/>
      <c r="S518" s="1"/>
      <c r="T518" s="1"/>
      <c r="U518" s="1"/>
      <c r="V518" s="1"/>
      <c r="W518" s="1"/>
      <c r="X518" s="1"/>
      <c r="Y518" s="1"/>
      <c r="Z518" s="1"/>
    </row>
    <row r="519">
      <c r="A519" s="1"/>
      <c r="B519" s="1"/>
      <c r="C519" s="1"/>
      <c r="D519" s="1"/>
      <c r="E519" s="1"/>
      <c r="F519" s="1"/>
      <c r="G519" s="1"/>
      <c r="H519" s="1"/>
      <c r="I519" s="1"/>
      <c r="J519" s="1"/>
      <c r="K519" s="2"/>
      <c r="L519" s="2"/>
      <c r="M519" s="2"/>
      <c r="N519" s="3"/>
      <c r="O519" s="2"/>
      <c r="P519" s="1"/>
      <c r="Q519" s="1"/>
      <c r="R519" s="1"/>
      <c r="S519" s="1"/>
      <c r="T519" s="1"/>
      <c r="U519" s="1"/>
      <c r="V519" s="1"/>
      <c r="W519" s="1"/>
      <c r="X519" s="1"/>
      <c r="Y519" s="1"/>
      <c r="Z519" s="1"/>
    </row>
    <row r="520">
      <c r="A520" s="1"/>
      <c r="B520" s="1"/>
      <c r="C520" s="1"/>
      <c r="D520" s="1"/>
      <c r="E520" s="1"/>
      <c r="F520" s="1"/>
      <c r="G520" s="1"/>
      <c r="H520" s="1"/>
      <c r="I520" s="1"/>
      <c r="J520" s="1"/>
      <c r="K520" s="2"/>
      <c r="L520" s="2"/>
      <c r="M520" s="2"/>
      <c r="N520" s="3"/>
      <c r="O520" s="2"/>
      <c r="P520" s="1"/>
      <c r="Q520" s="1"/>
      <c r="R520" s="1"/>
      <c r="S520" s="1"/>
      <c r="T520" s="1"/>
      <c r="U520" s="1"/>
      <c r="V520" s="1"/>
      <c r="W520" s="1"/>
      <c r="X520" s="1"/>
      <c r="Y520" s="1"/>
      <c r="Z520" s="1"/>
    </row>
    <row r="521">
      <c r="A521" s="1"/>
      <c r="B521" s="1"/>
      <c r="C521" s="1"/>
      <c r="D521" s="1"/>
      <c r="E521" s="1"/>
      <c r="F521" s="1"/>
      <c r="G521" s="1"/>
      <c r="H521" s="1"/>
      <c r="I521" s="1"/>
      <c r="J521" s="1"/>
      <c r="K521" s="2"/>
      <c r="L521" s="2"/>
      <c r="M521" s="2"/>
      <c r="N521" s="3"/>
      <c r="O521" s="2"/>
      <c r="P521" s="1"/>
      <c r="Q521" s="1"/>
      <c r="R521" s="1"/>
      <c r="S521" s="1"/>
      <c r="T521" s="1"/>
      <c r="U521" s="1"/>
      <c r="V521" s="1"/>
      <c r="W521" s="1"/>
      <c r="X521" s="1"/>
      <c r="Y521" s="1"/>
      <c r="Z521" s="1"/>
    </row>
    <row r="522">
      <c r="A522" s="1"/>
      <c r="B522" s="1"/>
      <c r="C522" s="1"/>
      <c r="D522" s="1"/>
      <c r="E522" s="1"/>
      <c r="F522" s="1"/>
      <c r="G522" s="1"/>
      <c r="H522" s="1"/>
      <c r="I522" s="1"/>
      <c r="J522" s="1"/>
      <c r="K522" s="2"/>
      <c r="L522" s="2"/>
      <c r="M522" s="2"/>
      <c r="N522" s="3"/>
      <c r="O522" s="2"/>
      <c r="P522" s="1"/>
      <c r="Q522" s="1"/>
      <c r="R522" s="1"/>
      <c r="S522" s="1"/>
      <c r="T522" s="1"/>
      <c r="U522" s="1"/>
      <c r="V522" s="1"/>
      <c r="W522" s="1"/>
      <c r="X522" s="1"/>
      <c r="Y522" s="1"/>
      <c r="Z522" s="1"/>
    </row>
    <row r="523">
      <c r="A523" s="1"/>
      <c r="B523" s="1"/>
      <c r="C523" s="1"/>
      <c r="D523" s="1"/>
      <c r="E523" s="1"/>
      <c r="F523" s="1"/>
      <c r="G523" s="1"/>
      <c r="H523" s="1"/>
      <c r="I523" s="1"/>
      <c r="J523" s="1"/>
      <c r="K523" s="2"/>
      <c r="L523" s="2"/>
      <c r="M523" s="2"/>
      <c r="N523" s="3"/>
      <c r="O523" s="2"/>
      <c r="P523" s="1"/>
      <c r="Q523" s="1"/>
      <c r="R523" s="1"/>
      <c r="S523" s="1"/>
      <c r="T523" s="1"/>
      <c r="U523" s="1"/>
      <c r="V523" s="1"/>
      <c r="W523" s="1"/>
      <c r="X523" s="1"/>
      <c r="Y523" s="1"/>
      <c r="Z523" s="1"/>
    </row>
    <row r="524">
      <c r="A524" s="1"/>
      <c r="B524" s="1"/>
      <c r="C524" s="1"/>
      <c r="D524" s="1"/>
      <c r="E524" s="1"/>
      <c r="F524" s="1"/>
      <c r="G524" s="1"/>
      <c r="H524" s="1"/>
      <c r="I524" s="1"/>
      <c r="J524" s="1"/>
      <c r="K524" s="2"/>
      <c r="L524" s="2"/>
      <c r="M524" s="2"/>
      <c r="N524" s="3"/>
      <c r="O524" s="2"/>
      <c r="P524" s="1"/>
      <c r="Q524" s="1"/>
      <c r="R524" s="1"/>
      <c r="S524" s="1"/>
      <c r="T524" s="1"/>
      <c r="U524" s="1"/>
      <c r="V524" s="1"/>
      <c r="W524" s="1"/>
      <c r="X524" s="1"/>
      <c r="Y524" s="1"/>
      <c r="Z524" s="1"/>
    </row>
    <row r="525">
      <c r="A525" s="1"/>
      <c r="B525" s="1"/>
      <c r="C525" s="1"/>
      <c r="D525" s="1"/>
      <c r="E525" s="1"/>
      <c r="F525" s="1"/>
      <c r="G525" s="1"/>
      <c r="H525" s="1"/>
      <c r="I525" s="1"/>
      <c r="J525" s="1"/>
      <c r="K525" s="2"/>
      <c r="L525" s="2"/>
      <c r="M525" s="2"/>
      <c r="N525" s="3"/>
      <c r="O525" s="2"/>
      <c r="P525" s="1"/>
      <c r="Q525" s="1"/>
      <c r="R525" s="1"/>
      <c r="S525" s="1"/>
      <c r="T525" s="1"/>
      <c r="U525" s="1"/>
      <c r="V525" s="1"/>
      <c r="W525" s="1"/>
      <c r="X525" s="1"/>
      <c r="Y525" s="1"/>
      <c r="Z525" s="1"/>
    </row>
    <row r="526">
      <c r="A526" s="1"/>
      <c r="B526" s="1"/>
      <c r="C526" s="1"/>
      <c r="D526" s="1"/>
      <c r="E526" s="1"/>
      <c r="F526" s="1"/>
      <c r="G526" s="1"/>
      <c r="H526" s="1"/>
      <c r="I526" s="1"/>
      <c r="J526" s="1"/>
      <c r="K526" s="2"/>
      <c r="L526" s="2"/>
      <c r="M526" s="2"/>
      <c r="N526" s="3"/>
      <c r="O526" s="2"/>
      <c r="P526" s="1"/>
      <c r="Q526" s="1"/>
      <c r="R526" s="1"/>
      <c r="S526" s="1"/>
      <c r="T526" s="1"/>
      <c r="U526" s="1"/>
      <c r="V526" s="1"/>
      <c r="W526" s="1"/>
      <c r="X526" s="1"/>
      <c r="Y526" s="1"/>
      <c r="Z526" s="1"/>
    </row>
    <row r="527">
      <c r="A527" s="1"/>
      <c r="B527" s="1"/>
      <c r="C527" s="1"/>
      <c r="D527" s="1"/>
      <c r="E527" s="1"/>
      <c r="F527" s="1"/>
      <c r="G527" s="1"/>
      <c r="H527" s="1"/>
      <c r="I527" s="1"/>
      <c r="J527" s="1"/>
      <c r="K527" s="2"/>
      <c r="L527" s="2"/>
      <c r="M527" s="2"/>
      <c r="N527" s="3"/>
      <c r="O527" s="2"/>
      <c r="P527" s="1"/>
      <c r="Q527" s="1"/>
      <c r="R527" s="1"/>
      <c r="S527" s="1"/>
      <c r="T527" s="1"/>
      <c r="U527" s="1"/>
      <c r="V527" s="1"/>
      <c r="W527" s="1"/>
      <c r="X527" s="1"/>
      <c r="Y527" s="1"/>
      <c r="Z527" s="1"/>
    </row>
    <row r="528">
      <c r="A528" s="1"/>
      <c r="B528" s="1"/>
      <c r="C528" s="1"/>
      <c r="D528" s="1"/>
      <c r="E528" s="1"/>
      <c r="F528" s="1"/>
      <c r="G528" s="1"/>
      <c r="H528" s="1"/>
      <c r="I528" s="1"/>
      <c r="J528" s="1"/>
      <c r="K528" s="2"/>
      <c r="L528" s="2"/>
      <c r="M528" s="2"/>
      <c r="N528" s="3"/>
      <c r="O528" s="2"/>
      <c r="P528" s="1"/>
      <c r="Q528" s="1"/>
      <c r="R528" s="1"/>
      <c r="S528" s="1"/>
      <c r="T528" s="1"/>
      <c r="U528" s="1"/>
      <c r="V528" s="1"/>
      <c r="W528" s="1"/>
      <c r="X528" s="1"/>
      <c r="Y528" s="1"/>
      <c r="Z528" s="1"/>
    </row>
    <row r="529">
      <c r="A529" s="1"/>
      <c r="B529" s="1"/>
      <c r="C529" s="1"/>
      <c r="D529" s="1"/>
      <c r="E529" s="1"/>
      <c r="F529" s="1"/>
      <c r="G529" s="1"/>
      <c r="H529" s="1"/>
      <c r="I529" s="1"/>
      <c r="J529" s="1"/>
      <c r="K529" s="2"/>
      <c r="L529" s="2"/>
      <c r="M529" s="2"/>
      <c r="N529" s="3"/>
      <c r="O529" s="2"/>
      <c r="P529" s="1"/>
      <c r="Q529" s="1"/>
      <c r="R529" s="1"/>
      <c r="S529" s="1"/>
      <c r="T529" s="1"/>
      <c r="U529" s="1"/>
      <c r="V529" s="1"/>
      <c r="W529" s="1"/>
      <c r="X529" s="1"/>
      <c r="Y529" s="1"/>
      <c r="Z529" s="1"/>
    </row>
    <row r="530">
      <c r="A530" s="1"/>
      <c r="B530" s="1"/>
      <c r="C530" s="1"/>
      <c r="D530" s="1"/>
      <c r="E530" s="1"/>
      <c r="F530" s="1"/>
      <c r="G530" s="1"/>
      <c r="H530" s="1"/>
      <c r="I530" s="1"/>
      <c r="J530" s="1"/>
      <c r="K530" s="2"/>
      <c r="L530" s="2"/>
      <c r="M530" s="2"/>
      <c r="N530" s="3"/>
      <c r="O530" s="2"/>
      <c r="P530" s="1"/>
      <c r="Q530" s="1"/>
      <c r="R530" s="1"/>
      <c r="S530" s="1"/>
      <c r="T530" s="1"/>
      <c r="U530" s="1"/>
      <c r="V530" s="1"/>
      <c r="W530" s="1"/>
      <c r="X530" s="1"/>
      <c r="Y530" s="1"/>
      <c r="Z530" s="1"/>
    </row>
    <row r="531">
      <c r="A531" s="1"/>
      <c r="B531" s="1"/>
      <c r="C531" s="1"/>
      <c r="D531" s="1"/>
      <c r="E531" s="1"/>
      <c r="F531" s="1"/>
      <c r="G531" s="1"/>
      <c r="H531" s="1"/>
      <c r="I531" s="1"/>
      <c r="J531" s="1"/>
      <c r="K531" s="2"/>
      <c r="L531" s="2"/>
      <c r="M531" s="2"/>
      <c r="N531" s="3"/>
      <c r="O531" s="2"/>
      <c r="P531" s="1"/>
      <c r="Q531" s="1"/>
      <c r="R531" s="1"/>
      <c r="S531" s="1"/>
      <c r="T531" s="1"/>
      <c r="U531" s="1"/>
      <c r="V531" s="1"/>
      <c r="W531" s="1"/>
      <c r="X531" s="1"/>
      <c r="Y531" s="1"/>
      <c r="Z531" s="1"/>
    </row>
    <row r="532">
      <c r="A532" s="1"/>
      <c r="B532" s="1"/>
      <c r="C532" s="1"/>
      <c r="D532" s="1"/>
      <c r="E532" s="1"/>
      <c r="F532" s="1"/>
      <c r="G532" s="1"/>
      <c r="H532" s="1"/>
      <c r="I532" s="1"/>
      <c r="J532" s="1"/>
      <c r="K532" s="2"/>
      <c r="L532" s="2"/>
      <c r="M532" s="2"/>
      <c r="N532" s="3"/>
      <c r="O532" s="2"/>
      <c r="P532" s="1"/>
      <c r="Q532" s="1"/>
      <c r="R532" s="1"/>
      <c r="S532" s="1"/>
      <c r="T532" s="1"/>
      <c r="U532" s="1"/>
      <c r="V532" s="1"/>
      <c r="W532" s="1"/>
      <c r="X532" s="1"/>
      <c r="Y532" s="1"/>
      <c r="Z532" s="1"/>
    </row>
    <row r="533">
      <c r="A533" s="1"/>
      <c r="B533" s="1"/>
      <c r="C533" s="1"/>
      <c r="D533" s="1"/>
      <c r="E533" s="1"/>
      <c r="F533" s="1"/>
      <c r="G533" s="1"/>
      <c r="H533" s="1"/>
      <c r="I533" s="1"/>
      <c r="J533" s="1"/>
      <c r="K533" s="2"/>
      <c r="L533" s="2"/>
      <c r="M533" s="2"/>
      <c r="N533" s="3"/>
      <c r="O533" s="2"/>
      <c r="P533" s="1"/>
      <c r="Q533" s="1"/>
      <c r="R533" s="1"/>
      <c r="S533" s="1"/>
      <c r="T533" s="1"/>
      <c r="U533" s="1"/>
      <c r="V533" s="1"/>
      <c r="W533" s="1"/>
      <c r="X533" s="1"/>
      <c r="Y533" s="1"/>
      <c r="Z533" s="1"/>
    </row>
    <row r="534">
      <c r="A534" s="1"/>
      <c r="B534" s="1"/>
      <c r="C534" s="1"/>
      <c r="D534" s="1"/>
      <c r="E534" s="1"/>
      <c r="F534" s="1"/>
      <c r="G534" s="1"/>
      <c r="H534" s="1"/>
      <c r="I534" s="1"/>
      <c r="J534" s="1"/>
      <c r="K534" s="2"/>
      <c r="L534" s="2"/>
      <c r="M534" s="2"/>
      <c r="N534" s="3"/>
      <c r="O534" s="2"/>
      <c r="P534" s="1"/>
      <c r="Q534" s="1"/>
      <c r="R534" s="1"/>
      <c r="S534" s="1"/>
      <c r="T534" s="1"/>
      <c r="U534" s="1"/>
      <c r="V534" s="1"/>
      <c r="W534" s="1"/>
      <c r="X534" s="1"/>
      <c r="Y534" s="1"/>
      <c r="Z534" s="1"/>
    </row>
    <row r="535">
      <c r="A535" s="1"/>
      <c r="B535" s="1"/>
      <c r="C535" s="1"/>
      <c r="D535" s="1"/>
      <c r="E535" s="1"/>
      <c r="F535" s="1"/>
      <c r="G535" s="1"/>
      <c r="H535" s="1"/>
      <c r="I535" s="1"/>
      <c r="J535" s="1"/>
      <c r="K535" s="2"/>
      <c r="L535" s="2"/>
      <c r="M535" s="2"/>
      <c r="N535" s="3"/>
      <c r="O535" s="2"/>
      <c r="P535" s="1"/>
      <c r="Q535" s="1"/>
      <c r="R535" s="1"/>
      <c r="S535" s="1"/>
      <c r="T535" s="1"/>
      <c r="U535" s="1"/>
      <c r="V535" s="1"/>
      <c r="W535" s="1"/>
      <c r="X535" s="1"/>
      <c r="Y535" s="1"/>
      <c r="Z535" s="1"/>
    </row>
    <row r="536">
      <c r="A536" s="1"/>
      <c r="B536" s="1"/>
      <c r="C536" s="1"/>
      <c r="D536" s="1"/>
      <c r="E536" s="1"/>
      <c r="F536" s="1"/>
      <c r="G536" s="1"/>
      <c r="H536" s="1"/>
      <c r="I536" s="1"/>
      <c r="J536" s="1"/>
      <c r="K536" s="2"/>
      <c r="L536" s="2"/>
      <c r="M536" s="2"/>
      <c r="N536" s="3"/>
      <c r="O536" s="2"/>
      <c r="P536" s="1"/>
      <c r="Q536" s="1"/>
      <c r="R536" s="1"/>
      <c r="S536" s="1"/>
      <c r="T536" s="1"/>
      <c r="U536" s="1"/>
      <c r="V536" s="1"/>
      <c r="W536" s="1"/>
      <c r="X536" s="1"/>
      <c r="Y536" s="1"/>
      <c r="Z536" s="1"/>
    </row>
    <row r="537">
      <c r="A537" s="1"/>
      <c r="B537" s="1"/>
      <c r="C537" s="1"/>
      <c r="D537" s="1"/>
      <c r="E537" s="1"/>
      <c r="F537" s="1"/>
      <c r="G537" s="1"/>
      <c r="H537" s="1"/>
      <c r="I537" s="1"/>
      <c r="J537" s="1"/>
      <c r="K537" s="2"/>
      <c r="L537" s="2"/>
      <c r="M537" s="2"/>
      <c r="N537" s="3"/>
      <c r="O537" s="2"/>
      <c r="P537" s="1"/>
      <c r="Q537" s="1"/>
      <c r="R537" s="1"/>
      <c r="S537" s="1"/>
      <c r="T537" s="1"/>
      <c r="U537" s="1"/>
      <c r="V537" s="1"/>
      <c r="W537" s="1"/>
      <c r="X537" s="1"/>
      <c r="Y537" s="1"/>
      <c r="Z537" s="1"/>
    </row>
    <row r="538">
      <c r="A538" s="1"/>
      <c r="B538" s="1"/>
      <c r="C538" s="1"/>
      <c r="D538" s="1"/>
      <c r="E538" s="1"/>
      <c r="F538" s="1"/>
      <c r="G538" s="1"/>
      <c r="H538" s="1"/>
      <c r="I538" s="1"/>
      <c r="J538" s="1"/>
      <c r="K538" s="2"/>
      <c r="L538" s="2"/>
      <c r="M538" s="2"/>
      <c r="N538" s="3"/>
      <c r="O538" s="2"/>
      <c r="P538" s="1"/>
      <c r="Q538" s="1"/>
      <c r="R538" s="1"/>
      <c r="S538" s="1"/>
      <c r="T538" s="1"/>
      <c r="U538" s="1"/>
      <c r="V538" s="1"/>
      <c r="W538" s="1"/>
      <c r="X538" s="1"/>
      <c r="Y538" s="1"/>
      <c r="Z538" s="1"/>
    </row>
    <row r="539">
      <c r="A539" s="1"/>
      <c r="B539" s="1"/>
      <c r="C539" s="1"/>
      <c r="D539" s="1"/>
      <c r="E539" s="1"/>
      <c r="F539" s="1"/>
      <c r="G539" s="1"/>
      <c r="H539" s="1"/>
      <c r="I539" s="1"/>
      <c r="J539" s="1"/>
      <c r="K539" s="2"/>
      <c r="L539" s="2"/>
      <c r="M539" s="2"/>
      <c r="N539" s="3"/>
      <c r="O539" s="2"/>
      <c r="P539" s="1"/>
      <c r="Q539" s="1"/>
      <c r="R539" s="1"/>
      <c r="S539" s="1"/>
      <c r="T539" s="1"/>
      <c r="U539" s="1"/>
      <c r="V539" s="1"/>
      <c r="W539" s="1"/>
      <c r="X539" s="1"/>
      <c r="Y539" s="1"/>
      <c r="Z539" s="1"/>
    </row>
    <row r="540">
      <c r="A540" s="1"/>
      <c r="B540" s="1"/>
      <c r="C540" s="1"/>
      <c r="D540" s="1"/>
      <c r="E540" s="1"/>
      <c r="F540" s="1"/>
      <c r="G540" s="1"/>
      <c r="H540" s="1"/>
      <c r="I540" s="1"/>
      <c r="J540" s="1"/>
      <c r="K540" s="2"/>
      <c r="L540" s="2"/>
      <c r="M540" s="2"/>
      <c r="N540" s="3"/>
      <c r="O540" s="2"/>
      <c r="P540" s="1"/>
      <c r="Q540" s="1"/>
      <c r="R540" s="1"/>
      <c r="S540" s="1"/>
      <c r="T540" s="1"/>
      <c r="U540" s="1"/>
      <c r="V540" s="1"/>
      <c r="W540" s="1"/>
      <c r="X540" s="1"/>
      <c r="Y540" s="1"/>
      <c r="Z540" s="1"/>
    </row>
    <row r="541">
      <c r="A541" s="1"/>
      <c r="B541" s="1"/>
      <c r="C541" s="1"/>
      <c r="D541" s="1"/>
      <c r="E541" s="1"/>
      <c r="F541" s="1"/>
      <c r="G541" s="1"/>
      <c r="H541" s="1"/>
      <c r="I541" s="1"/>
      <c r="J541" s="1"/>
      <c r="K541" s="2"/>
      <c r="L541" s="2"/>
      <c r="M541" s="2"/>
      <c r="N541" s="3"/>
      <c r="O541" s="2"/>
      <c r="P541" s="1"/>
      <c r="Q541" s="1"/>
      <c r="R541" s="1"/>
      <c r="S541" s="1"/>
      <c r="T541" s="1"/>
      <c r="U541" s="1"/>
      <c r="V541" s="1"/>
      <c r="W541" s="1"/>
      <c r="X541" s="1"/>
      <c r="Y541" s="1"/>
      <c r="Z541" s="1"/>
    </row>
    <row r="542">
      <c r="A542" s="1"/>
      <c r="B542" s="1"/>
      <c r="C542" s="1"/>
      <c r="D542" s="1"/>
      <c r="E542" s="1"/>
      <c r="F542" s="1"/>
      <c r="G542" s="1"/>
      <c r="H542" s="1"/>
      <c r="I542" s="1"/>
      <c r="J542" s="1"/>
      <c r="K542" s="2"/>
      <c r="L542" s="2"/>
      <c r="M542" s="2"/>
      <c r="N542" s="3"/>
      <c r="O542" s="2"/>
      <c r="P542" s="1"/>
      <c r="Q542" s="1"/>
      <c r="R542" s="1"/>
      <c r="S542" s="1"/>
      <c r="T542" s="1"/>
      <c r="U542" s="1"/>
      <c r="V542" s="1"/>
      <c r="W542" s="1"/>
      <c r="X542" s="1"/>
      <c r="Y542" s="1"/>
      <c r="Z542" s="1"/>
    </row>
    <row r="543">
      <c r="A543" s="1"/>
      <c r="B543" s="1"/>
      <c r="C543" s="1"/>
      <c r="D543" s="1"/>
      <c r="E543" s="1"/>
      <c r="F543" s="1"/>
      <c r="G543" s="1"/>
      <c r="H543" s="1"/>
      <c r="I543" s="1"/>
      <c r="J543" s="1"/>
      <c r="K543" s="2"/>
      <c r="L543" s="2"/>
      <c r="M543" s="2"/>
      <c r="N543" s="3"/>
      <c r="O543" s="2"/>
      <c r="P543" s="1"/>
      <c r="Q543" s="1"/>
      <c r="R543" s="1"/>
      <c r="S543" s="1"/>
      <c r="T543" s="1"/>
      <c r="U543" s="1"/>
      <c r="V543" s="1"/>
      <c r="W543" s="1"/>
      <c r="X543" s="1"/>
      <c r="Y543" s="1"/>
      <c r="Z543" s="1"/>
    </row>
    <row r="544">
      <c r="A544" s="1"/>
      <c r="B544" s="1"/>
      <c r="C544" s="1"/>
      <c r="D544" s="1"/>
      <c r="E544" s="1"/>
      <c r="F544" s="1"/>
      <c r="G544" s="1"/>
      <c r="H544" s="1"/>
      <c r="I544" s="1"/>
      <c r="J544" s="1"/>
      <c r="K544" s="2"/>
      <c r="L544" s="2"/>
      <c r="M544" s="2"/>
      <c r="N544" s="3"/>
      <c r="O544" s="2"/>
      <c r="P544" s="1"/>
      <c r="Q544" s="1"/>
      <c r="R544" s="1"/>
      <c r="S544" s="1"/>
      <c r="T544" s="1"/>
      <c r="U544" s="1"/>
      <c r="V544" s="1"/>
      <c r="W544" s="1"/>
      <c r="X544" s="1"/>
      <c r="Y544" s="1"/>
      <c r="Z544" s="1"/>
    </row>
    <row r="545">
      <c r="A545" s="1"/>
      <c r="B545" s="1"/>
      <c r="C545" s="1"/>
      <c r="D545" s="1"/>
      <c r="E545" s="1"/>
      <c r="F545" s="1"/>
      <c r="G545" s="1"/>
      <c r="H545" s="1"/>
      <c r="I545" s="1"/>
      <c r="J545" s="1"/>
      <c r="K545" s="2"/>
      <c r="L545" s="2"/>
      <c r="M545" s="2"/>
      <c r="N545" s="3"/>
      <c r="O545" s="2"/>
      <c r="P545" s="1"/>
      <c r="Q545" s="1"/>
      <c r="R545" s="1"/>
      <c r="S545" s="1"/>
      <c r="T545" s="1"/>
      <c r="U545" s="1"/>
      <c r="V545" s="1"/>
      <c r="W545" s="1"/>
      <c r="X545" s="1"/>
      <c r="Y545" s="1"/>
      <c r="Z545" s="1"/>
    </row>
    <row r="546">
      <c r="A546" s="1"/>
      <c r="B546" s="1"/>
      <c r="C546" s="1"/>
      <c r="D546" s="1"/>
      <c r="E546" s="1"/>
      <c r="F546" s="1"/>
      <c r="G546" s="1"/>
      <c r="H546" s="1"/>
      <c r="I546" s="1"/>
      <c r="J546" s="1"/>
      <c r="K546" s="2"/>
      <c r="L546" s="2"/>
      <c r="M546" s="2"/>
      <c r="N546" s="3"/>
      <c r="O546" s="2"/>
      <c r="P546" s="1"/>
      <c r="Q546" s="1"/>
      <c r="R546" s="1"/>
      <c r="S546" s="1"/>
      <c r="T546" s="1"/>
      <c r="U546" s="1"/>
      <c r="V546" s="1"/>
      <c r="W546" s="1"/>
      <c r="X546" s="1"/>
      <c r="Y546" s="1"/>
      <c r="Z546" s="1"/>
    </row>
    <row r="547">
      <c r="A547" s="1"/>
      <c r="B547" s="1"/>
      <c r="C547" s="1"/>
      <c r="D547" s="1"/>
      <c r="E547" s="1"/>
      <c r="F547" s="1"/>
      <c r="G547" s="1"/>
      <c r="H547" s="1"/>
      <c r="I547" s="1"/>
      <c r="J547" s="1"/>
      <c r="K547" s="2"/>
      <c r="L547" s="2"/>
      <c r="M547" s="2"/>
      <c r="N547" s="3"/>
      <c r="O547" s="2"/>
      <c r="P547" s="1"/>
      <c r="Q547" s="1"/>
      <c r="R547" s="1"/>
      <c r="S547" s="1"/>
      <c r="T547" s="1"/>
      <c r="U547" s="1"/>
      <c r="V547" s="1"/>
      <c r="W547" s="1"/>
      <c r="X547" s="1"/>
      <c r="Y547" s="1"/>
      <c r="Z547" s="1"/>
    </row>
    <row r="548">
      <c r="A548" s="1"/>
      <c r="B548" s="1"/>
      <c r="C548" s="1"/>
      <c r="D548" s="1"/>
      <c r="E548" s="1"/>
      <c r="F548" s="1"/>
      <c r="G548" s="1"/>
      <c r="H548" s="1"/>
      <c r="I548" s="1"/>
      <c r="J548" s="1"/>
      <c r="K548" s="2"/>
      <c r="L548" s="2"/>
      <c r="M548" s="2"/>
      <c r="N548" s="3"/>
      <c r="O548" s="2"/>
      <c r="P548" s="1"/>
      <c r="Q548" s="1"/>
      <c r="R548" s="1"/>
      <c r="S548" s="1"/>
      <c r="T548" s="1"/>
      <c r="U548" s="1"/>
      <c r="V548" s="1"/>
      <c r="W548" s="1"/>
      <c r="X548" s="1"/>
      <c r="Y548" s="1"/>
      <c r="Z548" s="1"/>
    </row>
    <row r="549">
      <c r="A549" s="1"/>
      <c r="B549" s="1"/>
      <c r="C549" s="1"/>
      <c r="D549" s="1"/>
      <c r="E549" s="1"/>
      <c r="F549" s="1"/>
      <c r="G549" s="1"/>
      <c r="H549" s="1"/>
      <c r="I549" s="1"/>
      <c r="J549" s="1"/>
      <c r="K549" s="2"/>
      <c r="L549" s="2"/>
      <c r="M549" s="2"/>
      <c r="N549" s="3"/>
      <c r="O549" s="2"/>
      <c r="P549" s="1"/>
      <c r="Q549" s="1"/>
      <c r="R549" s="1"/>
      <c r="S549" s="1"/>
      <c r="T549" s="1"/>
      <c r="U549" s="1"/>
      <c r="V549" s="1"/>
      <c r="W549" s="1"/>
      <c r="X549" s="1"/>
      <c r="Y549" s="1"/>
      <c r="Z549" s="1"/>
    </row>
    <row r="550">
      <c r="A550" s="1"/>
      <c r="B550" s="1"/>
      <c r="C550" s="1"/>
      <c r="D550" s="1"/>
      <c r="E550" s="1"/>
      <c r="F550" s="1"/>
      <c r="G550" s="1"/>
      <c r="H550" s="1"/>
      <c r="I550" s="1"/>
      <c r="J550" s="1"/>
      <c r="K550" s="2"/>
      <c r="L550" s="2"/>
      <c r="M550" s="2"/>
      <c r="N550" s="3"/>
      <c r="O550" s="2"/>
      <c r="P550" s="1"/>
      <c r="Q550" s="1"/>
      <c r="R550" s="1"/>
      <c r="S550" s="1"/>
      <c r="T550" s="1"/>
      <c r="U550" s="1"/>
      <c r="V550" s="1"/>
      <c r="W550" s="1"/>
      <c r="X550" s="1"/>
      <c r="Y550" s="1"/>
      <c r="Z550" s="1"/>
    </row>
    <row r="551">
      <c r="A551" s="1"/>
      <c r="B551" s="1"/>
      <c r="C551" s="1"/>
      <c r="D551" s="1"/>
      <c r="E551" s="1"/>
      <c r="F551" s="1"/>
      <c r="G551" s="1"/>
      <c r="H551" s="1"/>
      <c r="I551" s="1"/>
      <c r="J551" s="1"/>
      <c r="K551" s="2"/>
      <c r="L551" s="2"/>
      <c r="M551" s="2"/>
      <c r="N551" s="3"/>
      <c r="O551" s="2"/>
      <c r="P551" s="1"/>
      <c r="Q551" s="1"/>
      <c r="R551" s="1"/>
      <c r="S551" s="1"/>
      <c r="T551" s="1"/>
      <c r="U551" s="1"/>
      <c r="V551" s="1"/>
      <c r="W551" s="1"/>
      <c r="X551" s="1"/>
      <c r="Y551" s="1"/>
      <c r="Z551" s="1"/>
    </row>
    <row r="552">
      <c r="A552" s="1"/>
      <c r="B552" s="1"/>
      <c r="C552" s="1"/>
      <c r="D552" s="1"/>
      <c r="E552" s="1"/>
      <c r="F552" s="1"/>
      <c r="G552" s="1"/>
      <c r="H552" s="1"/>
      <c r="I552" s="1"/>
      <c r="J552" s="1"/>
      <c r="K552" s="2"/>
      <c r="L552" s="2"/>
      <c r="M552" s="2"/>
      <c r="N552" s="3"/>
      <c r="O552" s="2"/>
      <c r="P552" s="1"/>
      <c r="Q552" s="1"/>
      <c r="R552" s="1"/>
      <c r="S552" s="1"/>
      <c r="T552" s="1"/>
      <c r="U552" s="1"/>
      <c r="V552" s="1"/>
      <c r="W552" s="1"/>
      <c r="X552" s="1"/>
      <c r="Y552" s="1"/>
      <c r="Z552" s="1"/>
    </row>
    <row r="553">
      <c r="A553" s="1"/>
      <c r="B553" s="1"/>
      <c r="C553" s="1"/>
      <c r="D553" s="1"/>
      <c r="E553" s="1"/>
      <c r="F553" s="1"/>
      <c r="G553" s="1"/>
      <c r="H553" s="1"/>
      <c r="I553" s="1"/>
      <c r="J553" s="1"/>
      <c r="K553" s="2"/>
      <c r="L553" s="2"/>
      <c r="M553" s="2"/>
      <c r="N553" s="3"/>
      <c r="O553" s="2"/>
      <c r="P553" s="1"/>
      <c r="Q553" s="1"/>
      <c r="R553" s="1"/>
      <c r="S553" s="1"/>
      <c r="T553" s="1"/>
      <c r="U553" s="1"/>
      <c r="V553" s="1"/>
      <c r="W553" s="1"/>
      <c r="X553" s="1"/>
      <c r="Y553" s="1"/>
      <c r="Z553" s="1"/>
    </row>
    <row r="554">
      <c r="A554" s="1"/>
      <c r="B554" s="1"/>
      <c r="C554" s="1"/>
      <c r="D554" s="1"/>
      <c r="E554" s="1"/>
      <c r="F554" s="1"/>
      <c r="G554" s="1"/>
      <c r="H554" s="1"/>
      <c r="I554" s="1"/>
      <c r="J554" s="1"/>
      <c r="K554" s="2"/>
      <c r="L554" s="2"/>
      <c r="M554" s="2"/>
      <c r="N554" s="3"/>
      <c r="O554" s="2"/>
      <c r="P554" s="1"/>
      <c r="Q554" s="1"/>
      <c r="R554" s="1"/>
      <c r="S554" s="1"/>
      <c r="T554" s="1"/>
      <c r="U554" s="1"/>
      <c r="V554" s="1"/>
      <c r="W554" s="1"/>
      <c r="X554" s="1"/>
      <c r="Y554" s="1"/>
      <c r="Z554" s="1"/>
    </row>
    <row r="555">
      <c r="A555" s="1"/>
      <c r="B555" s="1"/>
      <c r="C555" s="1"/>
      <c r="D555" s="1"/>
      <c r="E555" s="1"/>
      <c r="F555" s="1"/>
      <c r="G555" s="1"/>
      <c r="H555" s="1"/>
      <c r="I555" s="1"/>
      <c r="J555" s="1"/>
      <c r="K555" s="2"/>
      <c r="L555" s="2"/>
      <c r="M555" s="2"/>
      <c r="N555" s="3"/>
      <c r="O555" s="2"/>
      <c r="P555" s="1"/>
      <c r="Q555" s="1"/>
      <c r="R555" s="1"/>
      <c r="S555" s="1"/>
      <c r="T555" s="1"/>
      <c r="U555" s="1"/>
      <c r="V555" s="1"/>
      <c r="W555" s="1"/>
      <c r="X555" s="1"/>
      <c r="Y555" s="1"/>
      <c r="Z555" s="1"/>
    </row>
    <row r="556">
      <c r="A556" s="1"/>
      <c r="B556" s="1"/>
      <c r="C556" s="1"/>
      <c r="D556" s="1"/>
      <c r="E556" s="1"/>
      <c r="F556" s="1"/>
      <c r="G556" s="1"/>
      <c r="H556" s="1"/>
      <c r="I556" s="1"/>
      <c r="J556" s="1"/>
      <c r="K556" s="2"/>
      <c r="L556" s="2"/>
      <c r="M556" s="2"/>
      <c r="N556" s="3"/>
      <c r="O556" s="2"/>
      <c r="P556" s="1"/>
      <c r="Q556" s="1"/>
      <c r="R556" s="1"/>
      <c r="S556" s="1"/>
      <c r="T556" s="1"/>
      <c r="U556" s="1"/>
      <c r="V556" s="1"/>
      <c r="W556" s="1"/>
      <c r="X556" s="1"/>
      <c r="Y556" s="1"/>
      <c r="Z556" s="1"/>
    </row>
    <row r="557">
      <c r="A557" s="1"/>
      <c r="B557" s="1"/>
      <c r="C557" s="1"/>
      <c r="D557" s="1"/>
      <c r="E557" s="1"/>
      <c r="F557" s="1"/>
      <c r="G557" s="1"/>
      <c r="H557" s="1"/>
      <c r="I557" s="1"/>
      <c r="J557" s="1"/>
      <c r="K557" s="2"/>
      <c r="L557" s="2"/>
      <c r="M557" s="2"/>
      <c r="N557" s="3"/>
      <c r="O557" s="2"/>
      <c r="P557" s="1"/>
      <c r="Q557" s="1"/>
      <c r="R557" s="1"/>
      <c r="S557" s="1"/>
      <c r="T557" s="1"/>
      <c r="U557" s="1"/>
      <c r="V557" s="1"/>
      <c r="W557" s="1"/>
      <c r="X557" s="1"/>
      <c r="Y557" s="1"/>
      <c r="Z557" s="1"/>
    </row>
    <row r="558">
      <c r="A558" s="1"/>
      <c r="B558" s="1"/>
      <c r="C558" s="1"/>
      <c r="D558" s="1"/>
      <c r="E558" s="1"/>
      <c r="F558" s="1"/>
      <c r="G558" s="1"/>
      <c r="H558" s="1"/>
      <c r="I558" s="1"/>
      <c r="J558" s="1"/>
      <c r="K558" s="2"/>
      <c r="L558" s="2"/>
      <c r="M558" s="2"/>
      <c r="N558" s="3"/>
      <c r="O558" s="2"/>
      <c r="P558" s="1"/>
      <c r="Q558" s="1"/>
      <c r="R558" s="1"/>
      <c r="S558" s="1"/>
      <c r="T558" s="1"/>
      <c r="U558" s="1"/>
      <c r="V558" s="1"/>
      <c r="W558" s="1"/>
      <c r="X558" s="1"/>
      <c r="Y558" s="1"/>
      <c r="Z558" s="1"/>
    </row>
    <row r="559">
      <c r="A559" s="1"/>
      <c r="B559" s="1"/>
      <c r="C559" s="1"/>
      <c r="D559" s="1"/>
      <c r="E559" s="1"/>
      <c r="F559" s="1"/>
      <c r="G559" s="1"/>
      <c r="H559" s="1"/>
      <c r="I559" s="1"/>
      <c r="J559" s="1"/>
      <c r="K559" s="2"/>
      <c r="L559" s="2"/>
      <c r="M559" s="2"/>
      <c r="N559" s="3"/>
      <c r="O559" s="2"/>
      <c r="P559" s="1"/>
      <c r="Q559" s="1"/>
      <c r="R559" s="1"/>
      <c r="S559" s="1"/>
      <c r="T559" s="1"/>
      <c r="U559" s="1"/>
      <c r="V559" s="1"/>
      <c r="W559" s="1"/>
      <c r="X559" s="1"/>
      <c r="Y559" s="1"/>
      <c r="Z559" s="1"/>
    </row>
    <row r="560">
      <c r="A560" s="1"/>
      <c r="B560" s="1"/>
      <c r="C560" s="1"/>
      <c r="D560" s="1"/>
      <c r="E560" s="1"/>
      <c r="F560" s="1"/>
      <c r="G560" s="1"/>
      <c r="H560" s="1"/>
      <c r="I560" s="1"/>
      <c r="J560" s="1"/>
      <c r="K560" s="2"/>
      <c r="L560" s="2"/>
      <c r="M560" s="2"/>
      <c r="N560" s="3"/>
      <c r="O560" s="2"/>
      <c r="P560" s="1"/>
      <c r="Q560" s="1"/>
      <c r="R560" s="1"/>
      <c r="S560" s="1"/>
      <c r="T560" s="1"/>
      <c r="U560" s="1"/>
      <c r="V560" s="1"/>
      <c r="W560" s="1"/>
      <c r="X560" s="1"/>
      <c r="Y560" s="1"/>
      <c r="Z560" s="1"/>
    </row>
    <row r="561">
      <c r="A561" s="1"/>
      <c r="B561" s="1"/>
      <c r="C561" s="1"/>
      <c r="D561" s="1"/>
      <c r="E561" s="1"/>
      <c r="F561" s="1"/>
      <c r="G561" s="1"/>
      <c r="H561" s="1"/>
      <c r="I561" s="1"/>
      <c r="J561" s="1"/>
      <c r="K561" s="2"/>
      <c r="L561" s="2"/>
      <c r="M561" s="2"/>
      <c r="N561" s="3"/>
      <c r="O561" s="2"/>
      <c r="P561" s="1"/>
      <c r="Q561" s="1"/>
      <c r="R561" s="1"/>
      <c r="S561" s="1"/>
      <c r="T561" s="1"/>
      <c r="U561" s="1"/>
      <c r="V561" s="1"/>
      <c r="W561" s="1"/>
      <c r="X561" s="1"/>
      <c r="Y561" s="1"/>
      <c r="Z561" s="1"/>
    </row>
    <row r="562">
      <c r="A562" s="1"/>
      <c r="B562" s="1"/>
      <c r="C562" s="1"/>
      <c r="D562" s="1"/>
      <c r="E562" s="1"/>
      <c r="F562" s="1"/>
      <c r="G562" s="1"/>
      <c r="H562" s="1"/>
      <c r="I562" s="1"/>
      <c r="J562" s="1"/>
      <c r="K562" s="2"/>
      <c r="L562" s="2"/>
      <c r="M562" s="2"/>
      <c r="N562" s="3"/>
      <c r="O562" s="2"/>
      <c r="P562" s="1"/>
      <c r="Q562" s="1"/>
      <c r="R562" s="1"/>
      <c r="S562" s="1"/>
      <c r="T562" s="1"/>
      <c r="U562" s="1"/>
      <c r="V562" s="1"/>
      <c r="W562" s="1"/>
      <c r="X562" s="1"/>
      <c r="Y562" s="1"/>
      <c r="Z562" s="1"/>
    </row>
    <row r="563">
      <c r="A563" s="1"/>
      <c r="B563" s="1"/>
      <c r="C563" s="1"/>
      <c r="D563" s="1"/>
      <c r="E563" s="1"/>
      <c r="F563" s="1"/>
      <c r="G563" s="1"/>
      <c r="H563" s="1"/>
      <c r="I563" s="1"/>
      <c r="J563" s="1"/>
      <c r="K563" s="2"/>
      <c r="L563" s="2"/>
      <c r="M563" s="2"/>
      <c r="N563" s="3"/>
      <c r="O563" s="2"/>
      <c r="P563" s="1"/>
      <c r="Q563" s="1"/>
      <c r="R563" s="1"/>
      <c r="S563" s="1"/>
      <c r="T563" s="1"/>
      <c r="U563" s="1"/>
      <c r="V563" s="1"/>
      <c r="W563" s="1"/>
      <c r="X563" s="1"/>
      <c r="Y563" s="1"/>
      <c r="Z563" s="1"/>
    </row>
    <row r="564">
      <c r="A564" s="1"/>
      <c r="B564" s="1"/>
      <c r="C564" s="1"/>
      <c r="D564" s="1"/>
      <c r="E564" s="1"/>
      <c r="F564" s="1"/>
      <c r="G564" s="1"/>
      <c r="H564" s="1"/>
      <c r="I564" s="1"/>
      <c r="J564" s="1"/>
      <c r="K564" s="2"/>
      <c r="L564" s="2"/>
      <c r="M564" s="2"/>
      <c r="N564" s="3"/>
      <c r="O564" s="2"/>
      <c r="P564" s="1"/>
      <c r="Q564" s="1"/>
      <c r="R564" s="1"/>
      <c r="S564" s="1"/>
      <c r="T564" s="1"/>
      <c r="U564" s="1"/>
      <c r="V564" s="1"/>
      <c r="W564" s="1"/>
      <c r="X564" s="1"/>
      <c r="Y564" s="1"/>
      <c r="Z564" s="1"/>
    </row>
    <row r="565">
      <c r="A565" s="1"/>
      <c r="B565" s="1"/>
      <c r="C565" s="1"/>
      <c r="D565" s="1"/>
      <c r="E565" s="1"/>
      <c r="F565" s="1"/>
      <c r="G565" s="1"/>
      <c r="H565" s="1"/>
      <c r="I565" s="1"/>
      <c r="J565" s="1"/>
      <c r="K565" s="2"/>
      <c r="L565" s="2"/>
      <c r="M565" s="2"/>
      <c r="N565" s="3"/>
      <c r="O565" s="2"/>
      <c r="P565" s="1"/>
      <c r="Q565" s="1"/>
      <c r="R565" s="1"/>
      <c r="S565" s="1"/>
      <c r="T565" s="1"/>
      <c r="U565" s="1"/>
      <c r="V565" s="1"/>
      <c r="W565" s="1"/>
      <c r="X565" s="1"/>
      <c r="Y565" s="1"/>
      <c r="Z565" s="1"/>
    </row>
    <row r="566">
      <c r="A566" s="1"/>
      <c r="B566" s="1"/>
      <c r="C566" s="1"/>
      <c r="D566" s="1"/>
      <c r="E566" s="1"/>
      <c r="F566" s="1"/>
      <c r="G566" s="1"/>
      <c r="H566" s="1"/>
      <c r="I566" s="1"/>
      <c r="J566" s="1"/>
      <c r="K566" s="2"/>
      <c r="L566" s="2"/>
      <c r="M566" s="2"/>
      <c r="N566" s="3"/>
      <c r="O566" s="2"/>
      <c r="P566" s="1"/>
      <c r="Q566" s="1"/>
      <c r="R566" s="1"/>
      <c r="S566" s="1"/>
      <c r="T566" s="1"/>
      <c r="U566" s="1"/>
      <c r="V566" s="1"/>
      <c r="W566" s="1"/>
      <c r="X566" s="1"/>
      <c r="Y566" s="1"/>
      <c r="Z566" s="1"/>
    </row>
    <row r="567">
      <c r="A567" s="1"/>
      <c r="B567" s="1"/>
      <c r="C567" s="1"/>
      <c r="D567" s="1"/>
      <c r="E567" s="1"/>
      <c r="F567" s="1"/>
      <c r="G567" s="1"/>
      <c r="H567" s="1"/>
      <c r="I567" s="1"/>
      <c r="J567" s="1"/>
      <c r="K567" s="2"/>
      <c r="L567" s="2"/>
      <c r="M567" s="2"/>
      <c r="N567" s="3"/>
      <c r="O567" s="2"/>
      <c r="P567" s="1"/>
      <c r="Q567" s="1"/>
      <c r="R567" s="1"/>
      <c r="S567" s="1"/>
      <c r="T567" s="1"/>
      <c r="U567" s="1"/>
      <c r="V567" s="1"/>
      <c r="W567" s="1"/>
      <c r="X567" s="1"/>
      <c r="Y567" s="1"/>
      <c r="Z567" s="1"/>
    </row>
    <row r="568">
      <c r="A568" s="1"/>
      <c r="B568" s="1"/>
      <c r="C568" s="1"/>
      <c r="D568" s="1"/>
      <c r="E568" s="1"/>
      <c r="F568" s="1"/>
      <c r="G568" s="1"/>
      <c r="H568" s="1"/>
      <c r="I568" s="1"/>
      <c r="J568" s="1"/>
      <c r="K568" s="2"/>
      <c r="L568" s="2"/>
      <c r="M568" s="2"/>
      <c r="N568" s="3"/>
      <c r="O568" s="2"/>
      <c r="P568" s="1"/>
      <c r="Q568" s="1"/>
      <c r="R568" s="1"/>
      <c r="S568" s="1"/>
      <c r="T568" s="1"/>
      <c r="U568" s="1"/>
      <c r="V568" s="1"/>
      <c r="W568" s="1"/>
      <c r="X568" s="1"/>
      <c r="Y568" s="1"/>
      <c r="Z568" s="1"/>
    </row>
    <row r="569">
      <c r="A569" s="1"/>
      <c r="B569" s="1"/>
      <c r="C569" s="1"/>
      <c r="D569" s="1"/>
      <c r="E569" s="1"/>
      <c r="F569" s="1"/>
      <c r="G569" s="1"/>
      <c r="H569" s="1"/>
      <c r="I569" s="1"/>
      <c r="J569" s="1"/>
      <c r="K569" s="2"/>
      <c r="L569" s="2"/>
      <c r="M569" s="2"/>
      <c r="N569" s="3"/>
      <c r="O569" s="2"/>
      <c r="P569" s="1"/>
      <c r="Q569" s="1"/>
      <c r="R569" s="1"/>
      <c r="S569" s="1"/>
      <c r="T569" s="1"/>
      <c r="U569" s="1"/>
      <c r="V569" s="1"/>
      <c r="W569" s="1"/>
      <c r="X569" s="1"/>
      <c r="Y569" s="1"/>
      <c r="Z569" s="1"/>
    </row>
    <row r="570">
      <c r="A570" s="1"/>
      <c r="B570" s="1"/>
      <c r="C570" s="1"/>
      <c r="D570" s="1"/>
      <c r="E570" s="1"/>
      <c r="F570" s="1"/>
      <c r="G570" s="1"/>
      <c r="H570" s="1"/>
      <c r="I570" s="1"/>
      <c r="J570" s="1"/>
      <c r="K570" s="2"/>
      <c r="L570" s="2"/>
      <c r="M570" s="2"/>
      <c r="N570" s="3"/>
      <c r="O570" s="2"/>
      <c r="P570" s="1"/>
      <c r="Q570" s="1"/>
      <c r="R570" s="1"/>
      <c r="S570" s="1"/>
      <c r="T570" s="1"/>
      <c r="U570" s="1"/>
      <c r="V570" s="1"/>
      <c r="W570" s="1"/>
      <c r="X570" s="1"/>
      <c r="Y570" s="1"/>
      <c r="Z570" s="1"/>
    </row>
    <row r="571">
      <c r="A571" s="1"/>
      <c r="B571" s="1"/>
      <c r="C571" s="1"/>
      <c r="D571" s="1"/>
      <c r="E571" s="1"/>
      <c r="F571" s="1"/>
      <c r="G571" s="1"/>
      <c r="H571" s="1"/>
      <c r="I571" s="1"/>
      <c r="J571" s="1"/>
      <c r="K571" s="2"/>
      <c r="L571" s="2"/>
      <c r="M571" s="2"/>
      <c r="N571" s="3"/>
      <c r="O571" s="2"/>
      <c r="P571" s="1"/>
      <c r="Q571" s="1"/>
      <c r="R571" s="1"/>
      <c r="S571" s="1"/>
      <c r="T571" s="1"/>
      <c r="U571" s="1"/>
      <c r="V571" s="1"/>
      <c r="W571" s="1"/>
      <c r="X571" s="1"/>
      <c r="Y571" s="1"/>
      <c r="Z571" s="1"/>
    </row>
    <row r="572">
      <c r="A572" s="1"/>
      <c r="B572" s="1"/>
      <c r="C572" s="1"/>
      <c r="D572" s="1"/>
      <c r="E572" s="1"/>
      <c r="F572" s="1"/>
      <c r="G572" s="1"/>
      <c r="H572" s="1"/>
      <c r="I572" s="1"/>
      <c r="J572" s="1"/>
      <c r="K572" s="2"/>
      <c r="L572" s="2"/>
      <c r="M572" s="2"/>
      <c r="N572" s="3"/>
      <c r="O572" s="2"/>
      <c r="P572" s="1"/>
      <c r="Q572" s="1"/>
      <c r="R572" s="1"/>
      <c r="S572" s="1"/>
      <c r="T572" s="1"/>
      <c r="U572" s="1"/>
      <c r="V572" s="1"/>
      <c r="W572" s="1"/>
      <c r="X572" s="1"/>
      <c r="Y572" s="1"/>
      <c r="Z572" s="1"/>
    </row>
    <row r="573">
      <c r="A573" s="1"/>
      <c r="B573" s="1"/>
      <c r="C573" s="1"/>
      <c r="D573" s="1"/>
      <c r="E573" s="1"/>
      <c r="F573" s="1"/>
      <c r="G573" s="1"/>
      <c r="H573" s="1"/>
      <c r="I573" s="1"/>
      <c r="J573" s="1"/>
      <c r="K573" s="2"/>
      <c r="L573" s="2"/>
      <c r="M573" s="2"/>
      <c r="N573" s="3"/>
      <c r="O573" s="2"/>
      <c r="P573" s="1"/>
      <c r="Q573" s="1"/>
      <c r="R573" s="1"/>
      <c r="S573" s="1"/>
      <c r="T573" s="1"/>
      <c r="U573" s="1"/>
      <c r="V573" s="1"/>
      <c r="W573" s="1"/>
      <c r="X573" s="1"/>
      <c r="Y573" s="1"/>
      <c r="Z573" s="1"/>
    </row>
    <row r="574">
      <c r="A574" s="1"/>
      <c r="B574" s="1"/>
      <c r="C574" s="1"/>
      <c r="D574" s="1"/>
      <c r="E574" s="1"/>
      <c r="F574" s="1"/>
      <c r="G574" s="1"/>
      <c r="H574" s="1"/>
      <c r="I574" s="1"/>
      <c r="J574" s="1"/>
      <c r="K574" s="2"/>
      <c r="L574" s="2"/>
      <c r="M574" s="2"/>
      <c r="N574" s="3"/>
      <c r="O574" s="2"/>
      <c r="P574" s="1"/>
      <c r="Q574" s="1"/>
      <c r="R574" s="1"/>
      <c r="S574" s="1"/>
      <c r="T574" s="1"/>
      <c r="U574" s="1"/>
      <c r="V574" s="1"/>
      <c r="W574" s="1"/>
      <c r="X574" s="1"/>
      <c r="Y574" s="1"/>
      <c r="Z574" s="1"/>
    </row>
    <row r="575">
      <c r="A575" s="1"/>
      <c r="B575" s="1"/>
      <c r="C575" s="1"/>
      <c r="D575" s="1"/>
      <c r="E575" s="1"/>
      <c r="F575" s="1"/>
      <c r="G575" s="1"/>
      <c r="H575" s="1"/>
      <c r="I575" s="1"/>
      <c r="J575" s="1"/>
      <c r="K575" s="2"/>
      <c r="L575" s="2"/>
      <c r="M575" s="2"/>
      <c r="N575" s="3"/>
      <c r="O575" s="2"/>
      <c r="P575" s="1"/>
      <c r="Q575" s="1"/>
      <c r="R575" s="1"/>
      <c r="S575" s="1"/>
      <c r="T575" s="1"/>
      <c r="U575" s="1"/>
      <c r="V575" s="1"/>
      <c r="W575" s="1"/>
      <c r="X575" s="1"/>
      <c r="Y575" s="1"/>
      <c r="Z575" s="1"/>
    </row>
    <row r="576">
      <c r="A576" s="1"/>
      <c r="B576" s="1"/>
      <c r="C576" s="1"/>
      <c r="D576" s="1"/>
      <c r="E576" s="1"/>
      <c r="F576" s="1"/>
      <c r="G576" s="1"/>
      <c r="H576" s="1"/>
      <c r="I576" s="1"/>
      <c r="J576" s="1"/>
      <c r="K576" s="2"/>
      <c r="L576" s="2"/>
      <c r="M576" s="2"/>
      <c r="N576" s="3"/>
      <c r="O576" s="2"/>
      <c r="P576" s="1"/>
      <c r="Q576" s="1"/>
      <c r="R576" s="1"/>
      <c r="S576" s="1"/>
      <c r="T576" s="1"/>
      <c r="U576" s="1"/>
      <c r="V576" s="1"/>
      <c r="W576" s="1"/>
      <c r="X576" s="1"/>
      <c r="Y576" s="1"/>
      <c r="Z576" s="1"/>
    </row>
    <row r="577">
      <c r="A577" s="1"/>
      <c r="B577" s="1"/>
      <c r="C577" s="1"/>
      <c r="D577" s="1"/>
      <c r="E577" s="1"/>
      <c r="F577" s="1"/>
      <c r="G577" s="1"/>
      <c r="H577" s="1"/>
      <c r="I577" s="1"/>
      <c r="J577" s="1"/>
      <c r="K577" s="2"/>
      <c r="L577" s="2"/>
      <c r="M577" s="2"/>
      <c r="N577" s="3"/>
      <c r="O577" s="2"/>
      <c r="P577" s="1"/>
      <c r="Q577" s="1"/>
      <c r="R577" s="1"/>
      <c r="S577" s="1"/>
      <c r="T577" s="1"/>
      <c r="U577" s="1"/>
      <c r="V577" s="1"/>
      <c r="W577" s="1"/>
      <c r="X577" s="1"/>
      <c r="Y577" s="1"/>
      <c r="Z577" s="1"/>
    </row>
    <row r="578">
      <c r="A578" s="1"/>
      <c r="B578" s="1"/>
      <c r="C578" s="1"/>
      <c r="D578" s="1"/>
      <c r="E578" s="1"/>
      <c r="F578" s="1"/>
      <c r="G578" s="1"/>
      <c r="H578" s="1"/>
      <c r="I578" s="1"/>
      <c r="J578" s="1"/>
      <c r="K578" s="2"/>
      <c r="L578" s="2"/>
      <c r="M578" s="2"/>
      <c r="N578" s="3"/>
      <c r="O578" s="2"/>
      <c r="P578" s="1"/>
      <c r="Q578" s="1"/>
      <c r="R578" s="1"/>
      <c r="S578" s="1"/>
      <c r="T578" s="1"/>
      <c r="U578" s="1"/>
      <c r="V578" s="1"/>
      <c r="W578" s="1"/>
      <c r="X578" s="1"/>
      <c r="Y578" s="1"/>
      <c r="Z578" s="1"/>
    </row>
    <row r="579">
      <c r="A579" s="1"/>
      <c r="B579" s="1"/>
      <c r="C579" s="1"/>
      <c r="D579" s="1"/>
      <c r="E579" s="1"/>
      <c r="F579" s="1"/>
      <c r="G579" s="1"/>
      <c r="H579" s="1"/>
      <c r="I579" s="1"/>
      <c r="J579" s="1"/>
      <c r="K579" s="2"/>
      <c r="L579" s="2"/>
      <c r="M579" s="2"/>
      <c r="N579" s="3"/>
      <c r="O579" s="2"/>
      <c r="P579" s="1"/>
      <c r="Q579" s="1"/>
      <c r="R579" s="1"/>
      <c r="S579" s="1"/>
      <c r="T579" s="1"/>
      <c r="U579" s="1"/>
      <c r="V579" s="1"/>
      <c r="W579" s="1"/>
      <c r="X579" s="1"/>
      <c r="Y579" s="1"/>
      <c r="Z579" s="1"/>
    </row>
    <row r="580">
      <c r="A580" s="1"/>
      <c r="B580" s="1"/>
      <c r="C580" s="1"/>
      <c r="D580" s="1"/>
      <c r="E580" s="1"/>
      <c r="F580" s="1"/>
      <c r="G580" s="1"/>
      <c r="H580" s="1"/>
      <c r="I580" s="1"/>
      <c r="J580" s="1"/>
      <c r="K580" s="2"/>
      <c r="L580" s="2"/>
      <c r="M580" s="2"/>
      <c r="N580" s="3"/>
      <c r="O580" s="2"/>
      <c r="P580" s="1"/>
      <c r="Q580" s="1"/>
      <c r="R580" s="1"/>
      <c r="S580" s="1"/>
      <c r="T580" s="1"/>
      <c r="U580" s="1"/>
      <c r="V580" s="1"/>
      <c r="W580" s="1"/>
      <c r="X580" s="1"/>
      <c r="Y580" s="1"/>
      <c r="Z580" s="1"/>
    </row>
    <row r="581">
      <c r="A581" s="1"/>
      <c r="B581" s="1"/>
      <c r="C581" s="1"/>
      <c r="D581" s="1"/>
      <c r="E581" s="1"/>
      <c r="F581" s="1"/>
      <c r="G581" s="1"/>
      <c r="H581" s="1"/>
      <c r="I581" s="1"/>
      <c r="J581" s="1"/>
      <c r="K581" s="2"/>
      <c r="L581" s="2"/>
      <c r="M581" s="2"/>
      <c r="N581" s="3"/>
      <c r="O581" s="2"/>
      <c r="P581" s="1"/>
      <c r="Q581" s="1"/>
      <c r="R581" s="1"/>
      <c r="S581" s="1"/>
      <c r="T581" s="1"/>
      <c r="U581" s="1"/>
      <c r="V581" s="1"/>
      <c r="W581" s="1"/>
      <c r="X581" s="1"/>
      <c r="Y581" s="1"/>
      <c r="Z581" s="1"/>
    </row>
    <row r="582">
      <c r="A582" s="1"/>
      <c r="B582" s="1"/>
      <c r="C582" s="1"/>
      <c r="D582" s="1"/>
      <c r="E582" s="1"/>
      <c r="F582" s="1"/>
      <c r="G582" s="1"/>
      <c r="H582" s="1"/>
      <c r="I582" s="1"/>
      <c r="J582" s="1"/>
      <c r="K582" s="2"/>
      <c r="L582" s="2"/>
      <c r="M582" s="2"/>
      <c r="N582" s="3"/>
      <c r="O582" s="2"/>
      <c r="P582" s="1"/>
      <c r="Q582" s="1"/>
      <c r="R582" s="1"/>
      <c r="S582" s="1"/>
      <c r="T582" s="1"/>
      <c r="U582" s="1"/>
      <c r="V582" s="1"/>
      <c r="W582" s="1"/>
      <c r="X582" s="1"/>
      <c r="Y582" s="1"/>
      <c r="Z582" s="1"/>
    </row>
    <row r="583">
      <c r="A583" s="1"/>
      <c r="B583" s="1"/>
      <c r="C583" s="1"/>
      <c r="D583" s="1"/>
      <c r="E583" s="1"/>
      <c r="F583" s="1"/>
      <c r="G583" s="1"/>
      <c r="H583" s="1"/>
      <c r="I583" s="1"/>
      <c r="J583" s="1"/>
      <c r="K583" s="2"/>
      <c r="L583" s="2"/>
      <c r="M583" s="2"/>
      <c r="N583" s="3"/>
      <c r="O583" s="2"/>
      <c r="P583" s="1"/>
      <c r="Q583" s="1"/>
      <c r="R583" s="1"/>
      <c r="S583" s="1"/>
      <c r="T583" s="1"/>
      <c r="U583" s="1"/>
      <c r="V583" s="1"/>
      <c r="W583" s="1"/>
      <c r="X583" s="1"/>
      <c r="Y583" s="1"/>
      <c r="Z583" s="1"/>
    </row>
    <row r="584">
      <c r="A584" s="1"/>
      <c r="B584" s="1"/>
      <c r="C584" s="1"/>
      <c r="D584" s="1"/>
      <c r="E584" s="1"/>
      <c r="F584" s="1"/>
      <c r="G584" s="1"/>
      <c r="H584" s="1"/>
      <c r="I584" s="1"/>
      <c r="J584" s="1"/>
      <c r="K584" s="2"/>
      <c r="L584" s="2"/>
      <c r="M584" s="2"/>
      <c r="N584" s="3"/>
      <c r="O584" s="2"/>
      <c r="P584" s="1"/>
      <c r="Q584" s="1"/>
      <c r="R584" s="1"/>
      <c r="S584" s="1"/>
      <c r="T584" s="1"/>
      <c r="U584" s="1"/>
      <c r="V584" s="1"/>
      <c r="W584" s="1"/>
      <c r="X584" s="1"/>
      <c r="Y584" s="1"/>
      <c r="Z584" s="1"/>
    </row>
    <row r="585">
      <c r="A585" s="1"/>
      <c r="B585" s="1"/>
      <c r="C585" s="1"/>
      <c r="D585" s="1"/>
      <c r="E585" s="1"/>
      <c r="F585" s="1"/>
      <c r="G585" s="1"/>
      <c r="H585" s="1"/>
      <c r="I585" s="1"/>
      <c r="J585" s="1"/>
      <c r="K585" s="2"/>
      <c r="L585" s="2"/>
      <c r="M585" s="2"/>
      <c r="N585" s="3"/>
      <c r="O585" s="2"/>
      <c r="P585" s="1"/>
      <c r="Q585" s="1"/>
      <c r="R585" s="1"/>
      <c r="S585" s="1"/>
      <c r="T585" s="1"/>
      <c r="U585" s="1"/>
      <c r="V585" s="1"/>
      <c r="W585" s="1"/>
      <c r="X585" s="1"/>
      <c r="Y585" s="1"/>
      <c r="Z585" s="1"/>
    </row>
    <row r="586">
      <c r="A586" s="1"/>
      <c r="B586" s="1"/>
      <c r="C586" s="1"/>
      <c r="D586" s="1"/>
      <c r="E586" s="1"/>
      <c r="F586" s="1"/>
      <c r="G586" s="1"/>
      <c r="H586" s="1"/>
      <c r="I586" s="1"/>
      <c r="J586" s="1"/>
      <c r="K586" s="2"/>
      <c r="L586" s="2"/>
      <c r="M586" s="2"/>
      <c r="N586" s="3"/>
      <c r="O586" s="2"/>
      <c r="P586" s="1"/>
      <c r="Q586" s="1"/>
      <c r="R586" s="1"/>
      <c r="S586" s="1"/>
      <c r="T586" s="1"/>
      <c r="U586" s="1"/>
      <c r="V586" s="1"/>
      <c r="W586" s="1"/>
      <c r="X586" s="1"/>
      <c r="Y586" s="1"/>
      <c r="Z586" s="1"/>
    </row>
    <row r="587">
      <c r="A587" s="1"/>
      <c r="B587" s="1"/>
      <c r="C587" s="1"/>
      <c r="D587" s="1"/>
      <c r="E587" s="1"/>
      <c r="F587" s="1"/>
      <c r="G587" s="1"/>
      <c r="H587" s="1"/>
      <c r="I587" s="1"/>
      <c r="J587" s="1"/>
      <c r="K587" s="2"/>
      <c r="L587" s="2"/>
      <c r="M587" s="2"/>
      <c r="N587" s="3"/>
      <c r="O587" s="2"/>
      <c r="P587" s="1"/>
      <c r="Q587" s="1"/>
      <c r="R587" s="1"/>
      <c r="S587" s="1"/>
      <c r="T587" s="1"/>
      <c r="U587" s="1"/>
      <c r="V587" s="1"/>
      <c r="W587" s="1"/>
      <c r="X587" s="1"/>
      <c r="Y587" s="1"/>
      <c r="Z587" s="1"/>
    </row>
    <row r="588">
      <c r="A588" s="1"/>
      <c r="B588" s="1"/>
      <c r="C588" s="1"/>
      <c r="D588" s="1"/>
      <c r="E588" s="1"/>
      <c r="F588" s="1"/>
      <c r="G588" s="1"/>
      <c r="H588" s="1"/>
      <c r="I588" s="1"/>
      <c r="J588" s="1"/>
      <c r="K588" s="2"/>
      <c r="L588" s="2"/>
      <c r="M588" s="2"/>
      <c r="N588" s="3"/>
      <c r="O588" s="2"/>
      <c r="P588" s="1"/>
      <c r="Q588" s="1"/>
      <c r="R588" s="1"/>
      <c r="S588" s="1"/>
      <c r="T588" s="1"/>
      <c r="U588" s="1"/>
      <c r="V588" s="1"/>
      <c r="W588" s="1"/>
      <c r="X588" s="1"/>
      <c r="Y588" s="1"/>
      <c r="Z588" s="1"/>
    </row>
    <row r="589">
      <c r="A589" s="1"/>
      <c r="B589" s="1"/>
      <c r="C589" s="1"/>
      <c r="D589" s="1"/>
      <c r="E589" s="1"/>
      <c r="F589" s="1"/>
      <c r="G589" s="1"/>
      <c r="H589" s="1"/>
      <c r="I589" s="1"/>
      <c r="J589" s="1"/>
      <c r="K589" s="2"/>
      <c r="L589" s="2"/>
      <c r="M589" s="2"/>
      <c r="N589" s="3"/>
      <c r="O589" s="2"/>
      <c r="P589" s="1"/>
      <c r="Q589" s="1"/>
      <c r="R589" s="1"/>
      <c r="S589" s="1"/>
      <c r="T589" s="1"/>
      <c r="U589" s="1"/>
      <c r="V589" s="1"/>
      <c r="W589" s="1"/>
      <c r="X589" s="1"/>
      <c r="Y589" s="1"/>
      <c r="Z589" s="1"/>
    </row>
    <row r="590">
      <c r="A590" s="1"/>
      <c r="B590" s="1"/>
      <c r="C590" s="1"/>
      <c r="D590" s="1"/>
      <c r="E590" s="1"/>
      <c r="F590" s="1"/>
      <c r="G590" s="1"/>
      <c r="H590" s="1"/>
      <c r="I590" s="1"/>
      <c r="J590" s="1"/>
      <c r="K590" s="2"/>
      <c r="L590" s="2"/>
      <c r="M590" s="2"/>
      <c r="N590" s="3"/>
      <c r="O590" s="2"/>
      <c r="P590" s="1"/>
      <c r="Q590" s="1"/>
      <c r="R590" s="1"/>
      <c r="S590" s="1"/>
      <c r="T590" s="1"/>
      <c r="U590" s="1"/>
      <c r="V590" s="1"/>
      <c r="W590" s="1"/>
      <c r="X590" s="1"/>
      <c r="Y590" s="1"/>
      <c r="Z590" s="1"/>
    </row>
    <row r="591">
      <c r="A591" s="1"/>
      <c r="B591" s="1"/>
      <c r="C591" s="1"/>
      <c r="D591" s="1"/>
      <c r="E591" s="1"/>
      <c r="F591" s="1"/>
      <c r="G591" s="1"/>
      <c r="H591" s="1"/>
      <c r="I591" s="1"/>
      <c r="J591" s="1"/>
      <c r="K591" s="2"/>
      <c r="L591" s="2"/>
      <c r="M591" s="2"/>
      <c r="N591" s="3"/>
      <c r="O591" s="2"/>
      <c r="P591" s="1"/>
      <c r="Q591" s="1"/>
      <c r="R591" s="1"/>
      <c r="S591" s="1"/>
      <c r="T591" s="1"/>
      <c r="U591" s="1"/>
      <c r="V591" s="1"/>
      <c r="W591" s="1"/>
      <c r="X591" s="1"/>
      <c r="Y591" s="1"/>
      <c r="Z591" s="1"/>
    </row>
    <row r="592">
      <c r="A592" s="1"/>
      <c r="B592" s="1"/>
      <c r="C592" s="1"/>
      <c r="D592" s="1"/>
      <c r="E592" s="1"/>
      <c r="F592" s="1"/>
      <c r="G592" s="1"/>
      <c r="H592" s="1"/>
      <c r="I592" s="1"/>
      <c r="J592" s="1"/>
      <c r="K592" s="2"/>
      <c r="L592" s="2"/>
      <c r="M592" s="2"/>
      <c r="N592" s="3"/>
      <c r="O592" s="2"/>
      <c r="P592" s="1"/>
      <c r="Q592" s="1"/>
      <c r="R592" s="1"/>
      <c r="S592" s="1"/>
      <c r="T592" s="1"/>
      <c r="U592" s="1"/>
      <c r="V592" s="1"/>
      <c r="W592" s="1"/>
      <c r="X592" s="1"/>
      <c r="Y592" s="1"/>
      <c r="Z592" s="1"/>
    </row>
    <row r="593">
      <c r="A593" s="1"/>
      <c r="B593" s="1"/>
      <c r="C593" s="1"/>
      <c r="D593" s="1"/>
      <c r="E593" s="1"/>
      <c r="F593" s="1"/>
      <c r="G593" s="1"/>
      <c r="H593" s="1"/>
      <c r="I593" s="1"/>
      <c r="J593" s="1"/>
      <c r="K593" s="2"/>
      <c r="L593" s="2"/>
      <c r="M593" s="2"/>
      <c r="N593" s="3"/>
      <c r="O593" s="2"/>
      <c r="P593" s="1"/>
      <c r="Q593" s="1"/>
      <c r="R593" s="1"/>
      <c r="S593" s="1"/>
      <c r="T593" s="1"/>
      <c r="U593" s="1"/>
      <c r="V593" s="1"/>
      <c r="W593" s="1"/>
      <c r="X593" s="1"/>
      <c r="Y593" s="1"/>
      <c r="Z593" s="1"/>
    </row>
    <row r="594">
      <c r="A594" s="1"/>
      <c r="B594" s="1"/>
      <c r="C594" s="1"/>
      <c r="D594" s="1"/>
      <c r="E594" s="1"/>
      <c r="F594" s="1"/>
      <c r="G594" s="1"/>
      <c r="H594" s="1"/>
      <c r="I594" s="1"/>
      <c r="J594" s="1"/>
      <c r="K594" s="2"/>
      <c r="L594" s="2"/>
      <c r="M594" s="2"/>
      <c r="N594" s="3"/>
      <c r="O594" s="2"/>
      <c r="P594" s="1"/>
      <c r="Q594" s="1"/>
      <c r="R594" s="1"/>
      <c r="S594" s="1"/>
      <c r="T594" s="1"/>
      <c r="U594" s="1"/>
      <c r="V594" s="1"/>
      <c r="W594" s="1"/>
      <c r="X594" s="1"/>
      <c r="Y594" s="1"/>
      <c r="Z594" s="1"/>
    </row>
    <row r="595">
      <c r="A595" s="1"/>
      <c r="B595" s="1"/>
      <c r="C595" s="1"/>
      <c r="D595" s="1"/>
      <c r="E595" s="1"/>
      <c r="F595" s="1"/>
      <c r="G595" s="1"/>
      <c r="H595" s="1"/>
      <c r="I595" s="1"/>
      <c r="J595" s="1"/>
      <c r="K595" s="2"/>
      <c r="L595" s="2"/>
      <c r="M595" s="2"/>
      <c r="N595" s="3"/>
      <c r="O595" s="2"/>
      <c r="P595" s="1"/>
      <c r="Q595" s="1"/>
      <c r="R595" s="1"/>
      <c r="S595" s="1"/>
      <c r="T595" s="1"/>
      <c r="U595" s="1"/>
      <c r="V595" s="1"/>
      <c r="W595" s="1"/>
      <c r="X595" s="1"/>
      <c r="Y595" s="1"/>
      <c r="Z595" s="1"/>
    </row>
    <row r="596">
      <c r="A596" s="1"/>
      <c r="B596" s="1"/>
      <c r="C596" s="1"/>
      <c r="D596" s="1"/>
      <c r="E596" s="1"/>
      <c r="F596" s="1"/>
      <c r="G596" s="1"/>
      <c r="H596" s="1"/>
      <c r="I596" s="1"/>
      <c r="J596" s="1"/>
      <c r="K596" s="2"/>
      <c r="L596" s="2"/>
      <c r="M596" s="2"/>
      <c r="N596" s="3"/>
      <c r="O596" s="2"/>
      <c r="P596" s="1"/>
      <c r="Q596" s="1"/>
      <c r="R596" s="1"/>
      <c r="S596" s="1"/>
      <c r="T596" s="1"/>
      <c r="U596" s="1"/>
      <c r="V596" s="1"/>
      <c r="W596" s="1"/>
      <c r="X596" s="1"/>
      <c r="Y596" s="1"/>
      <c r="Z596" s="1"/>
    </row>
    <row r="597">
      <c r="A597" s="1"/>
      <c r="B597" s="1"/>
      <c r="C597" s="1"/>
      <c r="D597" s="1"/>
      <c r="E597" s="1"/>
      <c r="F597" s="1"/>
      <c r="G597" s="1"/>
      <c r="H597" s="1"/>
      <c r="I597" s="1"/>
      <c r="J597" s="1"/>
      <c r="K597" s="2"/>
      <c r="L597" s="2"/>
      <c r="M597" s="2"/>
      <c r="N597" s="3"/>
      <c r="O597" s="2"/>
      <c r="P597" s="1"/>
      <c r="Q597" s="1"/>
      <c r="R597" s="1"/>
      <c r="S597" s="1"/>
      <c r="T597" s="1"/>
      <c r="U597" s="1"/>
      <c r="V597" s="1"/>
      <c r="W597" s="1"/>
      <c r="X597" s="1"/>
      <c r="Y597" s="1"/>
      <c r="Z597" s="1"/>
    </row>
    <row r="598">
      <c r="A598" s="1"/>
      <c r="B598" s="1"/>
      <c r="C598" s="1"/>
      <c r="D598" s="1"/>
      <c r="E598" s="1"/>
      <c r="F598" s="1"/>
      <c r="G598" s="1"/>
      <c r="H598" s="1"/>
      <c r="I598" s="1"/>
      <c r="J598" s="1"/>
      <c r="K598" s="2"/>
      <c r="L598" s="2"/>
      <c r="M598" s="2"/>
      <c r="N598" s="3"/>
      <c r="O598" s="2"/>
      <c r="P598" s="1"/>
      <c r="Q598" s="1"/>
      <c r="R598" s="1"/>
      <c r="S598" s="1"/>
      <c r="T598" s="1"/>
      <c r="U598" s="1"/>
      <c r="V598" s="1"/>
      <c r="W598" s="1"/>
      <c r="X598" s="1"/>
      <c r="Y598" s="1"/>
      <c r="Z598" s="1"/>
    </row>
    <row r="599">
      <c r="A599" s="1"/>
      <c r="B599" s="1"/>
      <c r="C599" s="1"/>
      <c r="D599" s="1"/>
      <c r="E599" s="1"/>
      <c r="F599" s="1"/>
      <c r="G599" s="1"/>
      <c r="H599" s="1"/>
      <c r="I599" s="1"/>
      <c r="J599" s="1"/>
      <c r="K599" s="2"/>
      <c r="L599" s="2"/>
      <c r="M599" s="2"/>
      <c r="N599" s="3"/>
      <c r="O599" s="2"/>
      <c r="P599" s="1"/>
      <c r="Q599" s="1"/>
      <c r="R599" s="1"/>
      <c r="S599" s="1"/>
      <c r="T599" s="1"/>
      <c r="U599" s="1"/>
      <c r="V599" s="1"/>
      <c r="W599" s="1"/>
      <c r="X599" s="1"/>
      <c r="Y599" s="1"/>
      <c r="Z599" s="1"/>
    </row>
    <row r="600">
      <c r="A600" s="1"/>
      <c r="B600" s="1"/>
      <c r="C600" s="1"/>
      <c r="D600" s="1"/>
      <c r="E600" s="1"/>
      <c r="F600" s="1"/>
      <c r="G600" s="1"/>
      <c r="H600" s="1"/>
      <c r="I600" s="1"/>
      <c r="J600" s="1"/>
      <c r="K600" s="2"/>
      <c r="L600" s="2"/>
      <c r="M600" s="2"/>
      <c r="N600" s="3"/>
      <c r="O600" s="2"/>
      <c r="P600" s="1"/>
      <c r="Q600" s="1"/>
      <c r="R600" s="1"/>
      <c r="S600" s="1"/>
      <c r="T600" s="1"/>
      <c r="U600" s="1"/>
      <c r="V600" s="1"/>
      <c r="W600" s="1"/>
      <c r="X600" s="1"/>
      <c r="Y600" s="1"/>
      <c r="Z600" s="1"/>
    </row>
    <row r="601">
      <c r="A601" s="1"/>
      <c r="B601" s="1"/>
      <c r="C601" s="1"/>
      <c r="D601" s="1"/>
      <c r="E601" s="1"/>
      <c r="F601" s="1"/>
      <c r="G601" s="1"/>
      <c r="H601" s="1"/>
      <c r="I601" s="1"/>
      <c r="J601" s="1"/>
      <c r="K601" s="2"/>
      <c r="L601" s="2"/>
      <c r="M601" s="2"/>
      <c r="N601" s="3"/>
      <c r="O601" s="2"/>
      <c r="P601" s="1"/>
      <c r="Q601" s="1"/>
      <c r="R601" s="1"/>
      <c r="S601" s="1"/>
      <c r="T601" s="1"/>
      <c r="U601" s="1"/>
      <c r="V601" s="1"/>
      <c r="W601" s="1"/>
      <c r="X601" s="1"/>
      <c r="Y601" s="1"/>
      <c r="Z601" s="1"/>
    </row>
    <row r="602">
      <c r="A602" s="1"/>
      <c r="B602" s="1"/>
      <c r="C602" s="1"/>
      <c r="D602" s="1"/>
      <c r="E602" s="1"/>
      <c r="F602" s="1"/>
      <c r="G602" s="1"/>
      <c r="H602" s="1"/>
      <c r="I602" s="1"/>
      <c r="J602" s="1"/>
      <c r="K602" s="2"/>
      <c r="L602" s="2"/>
      <c r="M602" s="2"/>
      <c r="N602" s="3"/>
      <c r="O602" s="2"/>
      <c r="P602" s="1"/>
      <c r="Q602" s="1"/>
      <c r="R602" s="1"/>
      <c r="S602" s="1"/>
      <c r="T602" s="1"/>
      <c r="U602" s="1"/>
      <c r="V602" s="1"/>
      <c r="W602" s="1"/>
      <c r="X602" s="1"/>
      <c r="Y602" s="1"/>
      <c r="Z602" s="1"/>
    </row>
    <row r="603">
      <c r="A603" s="1"/>
      <c r="B603" s="1"/>
      <c r="C603" s="1"/>
      <c r="D603" s="1"/>
      <c r="E603" s="1"/>
      <c r="F603" s="1"/>
      <c r="G603" s="1"/>
      <c r="H603" s="1"/>
      <c r="I603" s="1"/>
      <c r="J603" s="1"/>
      <c r="K603" s="2"/>
      <c r="L603" s="2"/>
      <c r="M603" s="2"/>
      <c r="N603" s="3"/>
      <c r="O603" s="2"/>
      <c r="P603" s="1"/>
      <c r="Q603" s="1"/>
      <c r="R603" s="1"/>
      <c r="S603" s="1"/>
      <c r="T603" s="1"/>
      <c r="U603" s="1"/>
      <c r="V603" s="1"/>
      <c r="W603" s="1"/>
      <c r="X603" s="1"/>
      <c r="Y603" s="1"/>
      <c r="Z603" s="1"/>
    </row>
    <row r="604">
      <c r="A604" s="1"/>
      <c r="B604" s="1"/>
      <c r="C604" s="1"/>
      <c r="D604" s="1"/>
      <c r="E604" s="1"/>
      <c r="F604" s="1"/>
      <c r="G604" s="1"/>
      <c r="H604" s="1"/>
      <c r="I604" s="1"/>
      <c r="J604" s="1"/>
      <c r="K604" s="2"/>
      <c r="L604" s="2"/>
      <c r="M604" s="2"/>
      <c r="N604" s="3"/>
      <c r="O604" s="2"/>
      <c r="P604" s="1"/>
      <c r="Q604" s="1"/>
      <c r="R604" s="1"/>
      <c r="S604" s="1"/>
      <c r="T604" s="1"/>
      <c r="U604" s="1"/>
      <c r="V604" s="1"/>
      <c r="W604" s="1"/>
      <c r="X604" s="1"/>
      <c r="Y604" s="1"/>
      <c r="Z604" s="1"/>
    </row>
    <row r="605">
      <c r="A605" s="1"/>
      <c r="B605" s="1"/>
      <c r="C605" s="1"/>
      <c r="D605" s="1"/>
      <c r="E605" s="1"/>
      <c r="F605" s="1"/>
      <c r="G605" s="1"/>
      <c r="H605" s="1"/>
      <c r="I605" s="1"/>
      <c r="J605" s="1"/>
      <c r="K605" s="2"/>
      <c r="L605" s="2"/>
      <c r="M605" s="2"/>
      <c r="N605" s="3"/>
      <c r="O605" s="2"/>
      <c r="P605" s="1"/>
      <c r="Q605" s="1"/>
      <c r="R605" s="1"/>
      <c r="S605" s="1"/>
      <c r="T605" s="1"/>
      <c r="U605" s="1"/>
      <c r="V605" s="1"/>
      <c r="W605" s="1"/>
      <c r="X605" s="1"/>
      <c r="Y605" s="1"/>
      <c r="Z605" s="1"/>
    </row>
    <row r="606">
      <c r="A606" s="1"/>
      <c r="B606" s="1"/>
      <c r="C606" s="1"/>
      <c r="D606" s="1"/>
      <c r="E606" s="1"/>
      <c r="F606" s="1"/>
      <c r="G606" s="1"/>
      <c r="H606" s="1"/>
      <c r="I606" s="1"/>
      <c r="J606" s="1"/>
      <c r="K606" s="2"/>
      <c r="L606" s="2"/>
      <c r="M606" s="2"/>
      <c r="N606" s="3"/>
      <c r="O606" s="2"/>
      <c r="P606" s="1"/>
      <c r="Q606" s="1"/>
      <c r="R606" s="1"/>
      <c r="S606" s="1"/>
      <c r="T606" s="1"/>
      <c r="U606" s="1"/>
      <c r="V606" s="1"/>
      <c r="W606" s="1"/>
      <c r="X606" s="1"/>
      <c r="Y606" s="1"/>
      <c r="Z606" s="1"/>
    </row>
    <row r="607">
      <c r="A607" s="1"/>
      <c r="B607" s="1"/>
      <c r="C607" s="1"/>
      <c r="D607" s="1"/>
      <c r="E607" s="1"/>
      <c r="F607" s="1"/>
      <c r="G607" s="1"/>
      <c r="H607" s="1"/>
      <c r="I607" s="1"/>
      <c r="J607" s="1"/>
      <c r="K607" s="2"/>
      <c r="L607" s="2"/>
      <c r="M607" s="2"/>
      <c r="N607" s="3"/>
      <c r="O607" s="2"/>
      <c r="P607" s="1"/>
      <c r="Q607" s="1"/>
      <c r="R607" s="1"/>
      <c r="S607" s="1"/>
      <c r="T607" s="1"/>
      <c r="U607" s="1"/>
      <c r="V607" s="1"/>
      <c r="W607" s="1"/>
      <c r="X607" s="1"/>
      <c r="Y607" s="1"/>
      <c r="Z607" s="1"/>
    </row>
    <row r="608">
      <c r="A608" s="1"/>
      <c r="B608" s="1"/>
      <c r="C608" s="1"/>
      <c r="D608" s="1"/>
      <c r="E608" s="1"/>
      <c r="F608" s="1"/>
      <c r="G608" s="1"/>
      <c r="H608" s="1"/>
      <c r="I608" s="1"/>
      <c r="J608" s="1"/>
      <c r="K608" s="2"/>
      <c r="L608" s="2"/>
      <c r="M608" s="2"/>
      <c r="N608" s="3"/>
      <c r="O608" s="2"/>
      <c r="P608" s="1"/>
      <c r="Q608" s="1"/>
      <c r="R608" s="1"/>
      <c r="S608" s="1"/>
      <c r="T608" s="1"/>
      <c r="U608" s="1"/>
      <c r="V608" s="1"/>
      <c r="W608" s="1"/>
      <c r="X608" s="1"/>
      <c r="Y608" s="1"/>
      <c r="Z608" s="1"/>
    </row>
    <row r="609">
      <c r="A609" s="1"/>
      <c r="B609" s="1"/>
      <c r="C609" s="1"/>
      <c r="D609" s="1"/>
      <c r="E609" s="1"/>
      <c r="F609" s="1"/>
      <c r="G609" s="1"/>
      <c r="H609" s="1"/>
      <c r="I609" s="1"/>
      <c r="J609" s="1"/>
      <c r="K609" s="2"/>
      <c r="L609" s="2"/>
      <c r="M609" s="2"/>
      <c r="N609" s="3"/>
      <c r="O609" s="2"/>
      <c r="P609" s="1"/>
      <c r="Q609" s="1"/>
      <c r="R609" s="1"/>
      <c r="S609" s="1"/>
      <c r="T609" s="1"/>
      <c r="U609" s="1"/>
      <c r="V609" s="1"/>
      <c r="W609" s="1"/>
      <c r="X609" s="1"/>
      <c r="Y609" s="1"/>
      <c r="Z609" s="1"/>
    </row>
    <row r="610">
      <c r="A610" s="1"/>
      <c r="B610" s="1"/>
      <c r="C610" s="1"/>
      <c r="D610" s="1"/>
      <c r="E610" s="1"/>
      <c r="F610" s="1"/>
      <c r="G610" s="1"/>
      <c r="H610" s="1"/>
      <c r="I610" s="1"/>
      <c r="J610" s="1"/>
      <c r="K610" s="2"/>
      <c r="L610" s="2"/>
      <c r="M610" s="2"/>
      <c r="N610" s="3"/>
      <c r="O610" s="2"/>
      <c r="P610" s="1"/>
      <c r="Q610" s="1"/>
      <c r="R610" s="1"/>
      <c r="S610" s="1"/>
      <c r="T610" s="1"/>
      <c r="U610" s="1"/>
      <c r="V610" s="1"/>
      <c r="W610" s="1"/>
      <c r="X610" s="1"/>
      <c r="Y610" s="1"/>
      <c r="Z610" s="1"/>
    </row>
    <row r="611">
      <c r="A611" s="1"/>
      <c r="B611" s="1"/>
      <c r="C611" s="1"/>
      <c r="D611" s="1"/>
      <c r="E611" s="1"/>
      <c r="F611" s="1"/>
      <c r="G611" s="1"/>
      <c r="H611" s="1"/>
      <c r="I611" s="1"/>
      <c r="J611" s="1"/>
      <c r="K611" s="2"/>
      <c r="L611" s="2"/>
      <c r="M611" s="2"/>
      <c r="N611" s="3"/>
      <c r="O611" s="2"/>
      <c r="P611" s="1"/>
      <c r="Q611" s="1"/>
      <c r="R611" s="1"/>
      <c r="S611" s="1"/>
      <c r="T611" s="1"/>
      <c r="U611" s="1"/>
      <c r="V611" s="1"/>
      <c r="W611" s="1"/>
      <c r="X611" s="1"/>
      <c r="Y611" s="1"/>
      <c r="Z611" s="1"/>
    </row>
    <row r="612">
      <c r="A612" s="1"/>
      <c r="B612" s="1"/>
      <c r="C612" s="1"/>
      <c r="D612" s="1"/>
      <c r="E612" s="1"/>
      <c r="F612" s="1"/>
      <c r="G612" s="1"/>
      <c r="H612" s="1"/>
      <c r="I612" s="1"/>
      <c r="J612" s="1"/>
      <c r="K612" s="2"/>
      <c r="L612" s="2"/>
      <c r="M612" s="2"/>
      <c r="N612" s="3"/>
      <c r="O612" s="2"/>
      <c r="P612" s="1"/>
      <c r="Q612" s="1"/>
      <c r="R612" s="1"/>
      <c r="S612" s="1"/>
      <c r="T612" s="1"/>
      <c r="U612" s="1"/>
      <c r="V612" s="1"/>
      <c r="W612" s="1"/>
      <c r="X612" s="1"/>
      <c r="Y612" s="1"/>
      <c r="Z612" s="1"/>
    </row>
    <row r="613">
      <c r="A613" s="1"/>
      <c r="B613" s="1"/>
      <c r="C613" s="1"/>
      <c r="D613" s="1"/>
      <c r="E613" s="1"/>
      <c r="F613" s="1"/>
      <c r="G613" s="1"/>
      <c r="H613" s="1"/>
      <c r="I613" s="1"/>
      <c r="J613" s="1"/>
      <c r="K613" s="2"/>
      <c r="L613" s="2"/>
      <c r="M613" s="2"/>
      <c r="N613" s="3"/>
      <c r="O613" s="2"/>
      <c r="P613" s="1"/>
      <c r="Q613" s="1"/>
      <c r="R613" s="1"/>
      <c r="S613" s="1"/>
      <c r="T613" s="1"/>
      <c r="U613" s="1"/>
      <c r="V613" s="1"/>
      <c r="W613" s="1"/>
      <c r="X613" s="1"/>
      <c r="Y613" s="1"/>
      <c r="Z613" s="1"/>
    </row>
    <row r="614">
      <c r="A614" s="1"/>
      <c r="B614" s="1"/>
      <c r="C614" s="1"/>
      <c r="D614" s="1"/>
      <c r="E614" s="1"/>
      <c r="F614" s="1"/>
      <c r="G614" s="1"/>
      <c r="H614" s="1"/>
      <c r="I614" s="1"/>
      <c r="J614" s="1"/>
      <c r="K614" s="2"/>
      <c r="L614" s="2"/>
      <c r="M614" s="2"/>
      <c r="N614" s="3"/>
      <c r="O614" s="2"/>
      <c r="P614" s="1"/>
      <c r="Q614" s="1"/>
      <c r="R614" s="1"/>
      <c r="S614" s="1"/>
      <c r="T614" s="1"/>
      <c r="U614" s="1"/>
      <c r="V614" s="1"/>
      <c r="W614" s="1"/>
      <c r="X614" s="1"/>
      <c r="Y614" s="1"/>
      <c r="Z614" s="1"/>
    </row>
    <row r="615">
      <c r="A615" s="1"/>
      <c r="B615" s="1"/>
      <c r="C615" s="1"/>
      <c r="D615" s="1"/>
      <c r="E615" s="1"/>
      <c r="F615" s="1"/>
      <c r="G615" s="1"/>
      <c r="H615" s="1"/>
      <c r="I615" s="1"/>
      <c r="J615" s="1"/>
      <c r="K615" s="2"/>
      <c r="L615" s="2"/>
      <c r="M615" s="2"/>
      <c r="N615" s="3"/>
      <c r="O615" s="2"/>
      <c r="P615" s="1"/>
      <c r="Q615" s="1"/>
      <c r="R615" s="1"/>
      <c r="S615" s="1"/>
      <c r="T615" s="1"/>
      <c r="U615" s="1"/>
      <c r="V615" s="1"/>
      <c r="W615" s="1"/>
      <c r="X615" s="1"/>
      <c r="Y615" s="1"/>
      <c r="Z615" s="1"/>
    </row>
    <row r="616">
      <c r="A616" s="1"/>
      <c r="B616" s="1"/>
      <c r="C616" s="1"/>
      <c r="D616" s="1"/>
      <c r="E616" s="1"/>
      <c r="F616" s="1"/>
      <c r="G616" s="1"/>
      <c r="H616" s="1"/>
      <c r="I616" s="1"/>
      <c r="J616" s="1"/>
      <c r="K616" s="2"/>
      <c r="L616" s="2"/>
      <c r="M616" s="2"/>
      <c r="N616" s="3"/>
      <c r="O616" s="2"/>
      <c r="P616" s="1"/>
      <c r="Q616" s="1"/>
      <c r="R616" s="1"/>
      <c r="S616" s="1"/>
      <c r="T616" s="1"/>
      <c r="U616" s="1"/>
      <c r="V616" s="1"/>
      <c r="W616" s="1"/>
      <c r="X616" s="1"/>
      <c r="Y616" s="1"/>
      <c r="Z616" s="1"/>
    </row>
    <row r="617">
      <c r="A617" s="1"/>
      <c r="B617" s="1"/>
      <c r="C617" s="1"/>
      <c r="D617" s="1"/>
      <c r="E617" s="1"/>
      <c r="F617" s="1"/>
      <c r="G617" s="1"/>
      <c r="H617" s="1"/>
      <c r="I617" s="1"/>
      <c r="J617" s="1"/>
      <c r="K617" s="2"/>
      <c r="L617" s="2"/>
      <c r="M617" s="2"/>
      <c r="N617" s="3"/>
      <c r="O617" s="2"/>
      <c r="P617" s="1"/>
      <c r="Q617" s="1"/>
      <c r="R617" s="1"/>
      <c r="S617" s="1"/>
      <c r="T617" s="1"/>
      <c r="U617" s="1"/>
      <c r="V617" s="1"/>
      <c r="W617" s="1"/>
      <c r="X617" s="1"/>
      <c r="Y617" s="1"/>
      <c r="Z617" s="1"/>
    </row>
    <row r="618">
      <c r="A618" s="1"/>
      <c r="B618" s="1"/>
      <c r="C618" s="1"/>
      <c r="D618" s="1"/>
      <c r="E618" s="1"/>
      <c r="F618" s="1"/>
      <c r="G618" s="1"/>
      <c r="H618" s="1"/>
      <c r="I618" s="1"/>
      <c r="J618" s="1"/>
      <c r="K618" s="2"/>
      <c r="L618" s="2"/>
      <c r="M618" s="2"/>
      <c r="N618" s="3"/>
      <c r="O618" s="2"/>
      <c r="P618" s="1"/>
      <c r="Q618" s="1"/>
      <c r="R618" s="1"/>
      <c r="S618" s="1"/>
      <c r="T618" s="1"/>
      <c r="U618" s="1"/>
      <c r="V618" s="1"/>
      <c r="W618" s="1"/>
      <c r="X618" s="1"/>
      <c r="Y618" s="1"/>
      <c r="Z618" s="1"/>
    </row>
    <row r="619">
      <c r="A619" s="1"/>
      <c r="B619" s="1"/>
      <c r="C619" s="1"/>
      <c r="D619" s="1"/>
      <c r="E619" s="1"/>
      <c r="F619" s="1"/>
      <c r="G619" s="1"/>
      <c r="H619" s="1"/>
      <c r="I619" s="1"/>
      <c r="J619" s="1"/>
      <c r="K619" s="2"/>
      <c r="L619" s="2"/>
      <c r="M619" s="2"/>
      <c r="N619" s="3"/>
      <c r="O619" s="2"/>
      <c r="P619" s="1"/>
      <c r="Q619" s="1"/>
      <c r="R619" s="1"/>
      <c r="S619" s="1"/>
      <c r="T619" s="1"/>
      <c r="U619" s="1"/>
      <c r="V619" s="1"/>
      <c r="W619" s="1"/>
      <c r="X619" s="1"/>
      <c r="Y619" s="1"/>
      <c r="Z619" s="1"/>
    </row>
    <row r="620">
      <c r="A620" s="1"/>
      <c r="B620" s="1"/>
      <c r="C620" s="1"/>
      <c r="D620" s="1"/>
      <c r="E620" s="1"/>
      <c r="F620" s="1"/>
      <c r="G620" s="1"/>
      <c r="H620" s="1"/>
      <c r="I620" s="1"/>
      <c r="J620" s="1"/>
      <c r="K620" s="2"/>
      <c r="L620" s="2"/>
      <c r="M620" s="2"/>
      <c r="N620" s="3"/>
      <c r="O620" s="2"/>
      <c r="P620" s="1"/>
      <c r="Q620" s="1"/>
      <c r="R620" s="1"/>
      <c r="S620" s="1"/>
      <c r="T620" s="1"/>
      <c r="U620" s="1"/>
      <c r="V620" s="1"/>
      <c r="W620" s="1"/>
      <c r="X620" s="1"/>
      <c r="Y620" s="1"/>
      <c r="Z620" s="1"/>
    </row>
    <row r="621">
      <c r="A621" s="1"/>
      <c r="B621" s="1"/>
      <c r="C621" s="1"/>
      <c r="D621" s="1"/>
      <c r="E621" s="1"/>
      <c r="F621" s="1"/>
      <c r="G621" s="1"/>
      <c r="H621" s="1"/>
      <c r="I621" s="1"/>
      <c r="J621" s="1"/>
      <c r="K621" s="2"/>
      <c r="L621" s="2"/>
      <c r="M621" s="2"/>
      <c r="N621" s="3"/>
      <c r="O621" s="2"/>
      <c r="P621" s="1"/>
      <c r="Q621" s="1"/>
      <c r="R621" s="1"/>
      <c r="S621" s="1"/>
      <c r="T621" s="1"/>
      <c r="U621" s="1"/>
      <c r="V621" s="1"/>
      <c r="W621" s="1"/>
      <c r="X621" s="1"/>
      <c r="Y621" s="1"/>
      <c r="Z621" s="1"/>
    </row>
    <row r="622">
      <c r="A622" s="1"/>
      <c r="B622" s="1"/>
      <c r="C622" s="1"/>
      <c r="D622" s="1"/>
      <c r="E622" s="1"/>
      <c r="F622" s="1"/>
      <c r="G622" s="1"/>
      <c r="H622" s="1"/>
      <c r="I622" s="1"/>
      <c r="J622" s="1"/>
      <c r="K622" s="2"/>
      <c r="L622" s="2"/>
      <c r="M622" s="2"/>
      <c r="N622" s="3"/>
      <c r="O622" s="2"/>
      <c r="P622" s="1"/>
      <c r="Q622" s="1"/>
      <c r="R622" s="1"/>
      <c r="S622" s="1"/>
      <c r="T622" s="1"/>
      <c r="U622" s="1"/>
      <c r="V622" s="1"/>
      <c r="W622" s="1"/>
      <c r="X622" s="1"/>
      <c r="Y622" s="1"/>
      <c r="Z622" s="1"/>
    </row>
    <row r="623">
      <c r="A623" s="1"/>
      <c r="B623" s="1"/>
      <c r="C623" s="1"/>
      <c r="D623" s="1"/>
      <c r="E623" s="1"/>
      <c r="F623" s="1"/>
      <c r="G623" s="1"/>
      <c r="H623" s="1"/>
      <c r="I623" s="1"/>
      <c r="J623" s="1"/>
      <c r="K623" s="2"/>
      <c r="L623" s="2"/>
      <c r="M623" s="2"/>
      <c r="N623" s="3"/>
      <c r="O623" s="2"/>
      <c r="P623" s="1"/>
      <c r="Q623" s="1"/>
      <c r="R623" s="1"/>
      <c r="S623" s="1"/>
      <c r="T623" s="1"/>
      <c r="U623" s="1"/>
      <c r="V623" s="1"/>
      <c r="W623" s="1"/>
      <c r="X623" s="1"/>
      <c r="Y623" s="1"/>
      <c r="Z623" s="1"/>
    </row>
    <row r="624">
      <c r="A624" s="1"/>
      <c r="B624" s="1"/>
      <c r="C624" s="1"/>
      <c r="D624" s="1"/>
      <c r="E624" s="1"/>
      <c r="F624" s="1"/>
      <c r="G624" s="1"/>
      <c r="H624" s="1"/>
      <c r="I624" s="1"/>
      <c r="J624" s="1"/>
      <c r="K624" s="2"/>
      <c r="L624" s="2"/>
      <c r="M624" s="2"/>
      <c r="N624" s="3"/>
      <c r="O624" s="2"/>
      <c r="P624" s="1"/>
      <c r="Q624" s="1"/>
      <c r="R624" s="1"/>
      <c r="S624" s="1"/>
      <c r="T624" s="1"/>
      <c r="U624" s="1"/>
      <c r="V624" s="1"/>
      <c r="W624" s="1"/>
      <c r="X624" s="1"/>
      <c r="Y624" s="1"/>
      <c r="Z624" s="1"/>
    </row>
    <row r="625">
      <c r="A625" s="1"/>
      <c r="B625" s="1"/>
      <c r="C625" s="1"/>
      <c r="D625" s="1"/>
      <c r="E625" s="1"/>
      <c r="F625" s="1"/>
      <c r="G625" s="1"/>
      <c r="H625" s="1"/>
      <c r="I625" s="1"/>
      <c r="J625" s="1"/>
      <c r="K625" s="2"/>
      <c r="L625" s="2"/>
      <c r="M625" s="2"/>
      <c r="N625" s="3"/>
      <c r="O625" s="2"/>
      <c r="P625" s="1"/>
      <c r="Q625" s="1"/>
      <c r="R625" s="1"/>
      <c r="S625" s="1"/>
      <c r="T625" s="1"/>
      <c r="U625" s="1"/>
      <c r="V625" s="1"/>
      <c r="W625" s="1"/>
      <c r="X625" s="1"/>
      <c r="Y625" s="1"/>
      <c r="Z625" s="1"/>
    </row>
    <row r="626">
      <c r="A626" s="1"/>
      <c r="B626" s="1"/>
      <c r="C626" s="1"/>
      <c r="D626" s="1"/>
      <c r="E626" s="1"/>
      <c r="F626" s="1"/>
      <c r="G626" s="1"/>
      <c r="H626" s="1"/>
      <c r="I626" s="1"/>
      <c r="J626" s="1"/>
      <c r="K626" s="2"/>
      <c r="L626" s="2"/>
      <c r="M626" s="2"/>
      <c r="N626" s="3"/>
      <c r="O626" s="2"/>
      <c r="P626" s="1"/>
      <c r="Q626" s="1"/>
      <c r="R626" s="1"/>
      <c r="S626" s="1"/>
      <c r="T626" s="1"/>
      <c r="U626" s="1"/>
      <c r="V626" s="1"/>
      <c r="W626" s="1"/>
      <c r="X626" s="1"/>
      <c r="Y626" s="1"/>
      <c r="Z626" s="1"/>
    </row>
    <row r="627">
      <c r="A627" s="1"/>
      <c r="B627" s="1"/>
      <c r="C627" s="1"/>
      <c r="D627" s="1"/>
      <c r="E627" s="1"/>
      <c r="F627" s="1"/>
      <c r="G627" s="1"/>
      <c r="H627" s="1"/>
      <c r="I627" s="1"/>
      <c r="J627" s="1"/>
      <c r="K627" s="2"/>
      <c r="L627" s="2"/>
      <c r="M627" s="2"/>
      <c r="N627" s="3"/>
      <c r="O627" s="2"/>
      <c r="P627" s="1"/>
      <c r="Q627" s="1"/>
      <c r="R627" s="1"/>
      <c r="S627" s="1"/>
      <c r="T627" s="1"/>
      <c r="U627" s="1"/>
      <c r="V627" s="1"/>
      <c r="W627" s="1"/>
      <c r="X627" s="1"/>
      <c r="Y627" s="1"/>
      <c r="Z627" s="1"/>
    </row>
    <row r="628">
      <c r="A628" s="1"/>
      <c r="B628" s="1"/>
      <c r="C628" s="1"/>
      <c r="D628" s="1"/>
      <c r="E628" s="1"/>
      <c r="F628" s="1"/>
      <c r="G628" s="1"/>
      <c r="H628" s="1"/>
      <c r="I628" s="1"/>
      <c r="J628" s="1"/>
      <c r="K628" s="2"/>
      <c r="L628" s="2"/>
      <c r="M628" s="2"/>
      <c r="N628" s="3"/>
      <c r="O628" s="2"/>
      <c r="P628" s="1"/>
      <c r="Q628" s="1"/>
      <c r="R628" s="1"/>
      <c r="S628" s="1"/>
      <c r="T628" s="1"/>
      <c r="U628" s="1"/>
      <c r="V628" s="1"/>
      <c r="W628" s="1"/>
      <c r="X628" s="1"/>
      <c r="Y628" s="1"/>
      <c r="Z628" s="1"/>
    </row>
    <row r="629">
      <c r="A629" s="1"/>
      <c r="B629" s="1"/>
      <c r="C629" s="1"/>
      <c r="D629" s="1"/>
      <c r="E629" s="1"/>
      <c r="F629" s="1"/>
      <c r="G629" s="1"/>
      <c r="H629" s="1"/>
      <c r="I629" s="1"/>
      <c r="J629" s="1"/>
      <c r="K629" s="2"/>
      <c r="L629" s="2"/>
      <c r="M629" s="2"/>
      <c r="N629" s="3"/>
      <c r="O629" s="2"/>
      <c r="P629" s="1"/>
      <c r="Q629" s="1"/>
      <c r="R629" s="1"/>
      <c r="S629" s="1"/>
      <c r="T629" s="1"/>
      <c r="U629" s="1"/>
      <c r="V629" s="1"/>
      <c r="W629" s="1"/>
      <c r="X629" s="1"/>
      <c r="Y629" s="1"/>
      <c r="Z629" s="1"/>
    </row>
    <row r="630">
      <c r="A630" s="1"/>
      <c r="B630" s="1"/>
      <c r="C630" s="1"/>
      <c r="D630" s="1"/>
      <c r="E630" s="1"/>
      <c r="F630" s="1"/>
      <c r="G630" s="1"/>
      <c r="H630" s="1"/>
      <c r="I630" s="1"/>
      <c r="J630" s="1"/>
      <c r="K630" s="2"/>
      <c r="L630" s="2"/>
      <c r="M630" s="2"/>
      <c r="N630" s="3"/>
      <c r="O630" s="2"/>
      <c r="P630" s="1"/>
      <c r="Q630" s="1"/>
      <c r="R630" s="1"/>
      <c r="S630" s="1"/>
      <c r="T630" s="1"/>
      <c r="U630" s="1"/>
      <c r="V630" s="1"/>
      <c r="W630" s="1"/>
      <c r="X630" s="1"/>
      <c r="Y630" s="1"/>
      <c r="Z630" s="1"/>
    </row>
    <row r="631">
      <c r="A631" s="1"/>
      <c r="B631" s="1"/>
      <c r="C631" s="1"/>
      <c r="D631" s="1"/>
      <c r="E631" s="1"/>
      <c r="F631" s="1"/>
      <c r="G631" s="1"/>
      <c r="H631" s="1"/>
      <c r="I631" s="1"/>
      <c r="J631" s="1"/>
      <c r="K631" s="2"/>
      <c r="L631" s="2"/>
      <c r="M631" s="2"/>
      <c r="N631" s="3"/>
      <c r="O631" s="2"/>
      <c r="P631" s="1"/>
      <c r="Q631" s="1"/>
      <c r="R631" s="1"/>
      <c r="S631" s="1"/>
      <c r="T631" s="1"/>
      <c r="U631" s="1"/>
      <c r="V631" s="1"/>
      <c r="W631" s="1"/>
      <c r="X631" s="1"/>
      <c r="Y631" s="1"/>
      <c r="Z631" s="1"/>
    </row>
    <row r="632">
      <c r="A632" s="1"/>
      <c r="B632" s="1"/>
      <c r="C632" s="1"/>
      <c r="D632" s="1"/>
      <c r="E632" s="1"/>
      <c r="F632" s="1"/>
      <c r="G632" s="1"/>
      <c r="H632" s="1"/>
      <c r="I632" s="1"/>
      <c r="J632" s="1"/>
      <c r="K632" s="2"/>
      <c r="L632" s="2"/>
      <c r="M632" s="2"/>
      <c r="N632" s="3"/>
      <c r="O632" s="2"/>
      <c r="P632" s="1"/>
      <c r="Q632" s="1"/>
      <c r="R632" s="1"/>
      <c r="S632" s="1"/>
      <c r="T632" s="1"/>
      <c r="U632" s="1"/>
      <c r="V632" s="1"/>
      <c r="W632" s="1"/>
      <c r="X632" s="1"/>
      <c r="Y632" s="1"/>
      <c r="Z632" s="1"/>
    </row>
    <row r="633">
      <c r="A633" s="1"/>
      <c r="B633" s="1"/>
      <c r="C633" s="1"/>
      <c r="D633" s="1"/>
      <c r="E633" s="1"/>
      <c r="F633" s="1"/>
      <c r="G633" s="1"/>
      <c r="H633" s="1"/>
      <c r="I633" s="1"/>
      <c r="J633" s="1"/>
      <c r="K633" s="2"/>
      <c r="L633" s="2"/>
      <c r="M633" s="2"/>
      <c r="N633" s="3"/>
      <c r="O633" s="2"/>
      <c r="P633" s="1"/>
      <c r="Q633" s="1"/>
      <c r="R633" s="1"/>
      <c r="S633" s="1"/>
      <c r="T633" s="1"/>
      <c r="U633" s="1"/>
      <c r="V633" s="1"/>
      <c r="W633" s="1"/>
      <c r="X633" s="1"/>
      <c r="Y633" s="1"/>
      <c r="Z633" s="1"/>
    </row>
    <row r="634">
      <c r="A634" s="1"/>
      <c r="B634" s="1"/>
      <c r="C634" s="1"/>
      <c r="D634" s="1"/>
      <c r="E634" s="1"/>
      <c r="F634" s="1"/>
      <c r="G634" s="1"/>
      <c r="H634" s="1"/>
      <c r="I634" s="1"/>
      <c r="J634" s="1"/>
      <c r="K634" s="2"/>
      <c r="L634" s="2"/>
      <c r="M634" s="2"/>
      <c r="N634" s="3"/>
      <c r="O634" s="2"/>
      <c r="P634" s="1"/>
      <c r="Q634" s="1"/>
      <c r="R634" s="1"/>
      <c r="S634" s="1"/>
      <c r="T634" s="1"/>
      <c r="U634" s="1"/>
      <c r="V634" s="1"/>
      <c r="W634" s="1"/>
      <c r="X634" s="1"/>
      <c r="Y634" s="1"/>
      <c r="Z634" s="1"/>
    </row>
    <row r="635">
      <c r="A635" s="1"/>
      <c r="B635" s="1"/>
      <c r="C635" s="1"/>
      <c r="D635" s="1"/>
      <c r="E635" s="1"/>
      <c r="F635" s="1"/>
      <c r="G635" s="1"/>
      <c r="H635" s="1"/>
      <c r="I635" s="1"/>
      <c r="J635" s="1"/>
      <c r="K635" s="2"/>
      <c r="L635" s="2"/>
      <c r="M635" s="2"/>
      <c r="N635" s="3"/>
      <c r="O635" s="2"/>
      <c r="P635" s="1"/>
      <c r="Q635" s="1"/>
      <c r="R635" s="1"/>
      <c r="S635" s="1"/>
      <c r="T635" s="1"/>
      <c r="U635" s="1"/>
      <c r="V635" s="1"/>
      <c r="W635" s="1"/>
      <c r="X635" s="1"/>
      <c r="Y635" s="1"/>
      <c r="Z635" s="1"/>
    </row>
    <row r="636">
      <c r="A636" s="1"/>
      <c r="B636" s="1"/>
      <c r="C636" s="1"/>
      <c r="D636" s="1"/>
      <c r="E636" s="1"/>
      <c r="F636" s="1"/>
      <c r="G636" s="1"/>
      <c r="H636" s="1"/>
      <c r="I636" s="1"/>
      <c r="J636" s="1"/>
      <c r="K636" s="2"/>
      <c r="L636" s="2"/>
      <c r="M636" s="2"/>
      <c r="N636" s="3"/>
      <c r="O636" s="2"/>
      <c r="P636" s="1"/>
      <c r="Q636" s="1"/>
      <c r="R636" s="1"/>
      <c r="S636" s="1"/>
      <c r="T636" s="1"/>
      <c r="U636" s="1"/>
      <c r="V636" s="1"/>
      <c r="W636" s="1"/>
      <c r="X636" s="1"/>
      <c r="Y636" s="1"/>
      <c r="Z636" s="1"/>
    </row>
    <row r="637">
      <c r="A637" s="1"/>
      <c r="B637" s="1"/>
      <c r="C637" s="1"/>
      <c r="D637" s="1"/>
      <c r="E637" s="1"/>
      <c r="F637" s="1"/>
      <c r="G637" s="1"/>
      <c r="H637" s="1"/>
      <c r="I637" s="1"/>
      <c r="J637" s="1"/>
      <c r="K637" s="2"/>
      <c r="L637" s="2"/>
      <c r="M637" s="2"/>
      <c r="N637" s="3"/>
      <c r="O637" s="2"/>
      <c r="P637" s="1"/>
      <c r="Q637" s="1"/>
      <c r="R637" s="1"/>
      <c r="S637" s="1"/>
      <c r="T637" s="1"/>
      <c r="U637" s="1"/>
      <c r="V637" s="1"/>
      <c r="W637" s="1"/>
      <c r="X637" s="1"/>
      <c r="Y637" s="1"/>
      <c r="Z637" s="1"/>
    </row>
    <row r="638">
      <c r="A638" s="1"/>
      <c r="B638" s="1"/>
      <c r="C638" s="1"/>
      <c r="D638" s="1"/>
      <c r="E638" s="1"/>
      <c r="F638" s="1"/>
      <c r="G638" s="1"/>
      <c r="H638" s="1"/>
      <c r="I638" s="1"/>
      <c r="J638" s="1"/>
      <c r="K638" s="2"/>
      <c r="L638" s="2"/>
      <c r="M638" s="2"/>
      <c r="N638" s="3"/>
      <c r="O638" s="2"/>
      <c r="P638" s="1"/>
      <c r="Q638" s="1"/>
      <c r="R638" s="1"/>
      <c r="S638" s="1"/>
      <c r="T638" s="1"/>
      <c r="U638" s="1"/>
      <c r="V638" s="1"/>
      <c r="W638" s="1"/>
      <c r="X638" s="1"/>
      <c r="Y638" s="1"/>
      <c r="Z638" s="1"/>
    </row>
    <row r="639">
      <c r="A639" s="1"/>
      <c r="B639" s="1"/>
      <c r="C639" s="1"/>
      <c r="D639" s="1"/>
      <c r="E639" s="1"/>
      <c r="F639" s="1"/>
      <c r="G639" s="1"/>
      <c r="H639" s="1"/>
      <c r="I639" s="1"/>
      <c r="J639" s="1"/>
      <c r="K639" s="2"/>
      <c r="L639" s="2"/>
      <c r="M639" s="2"/>
      <c r="N639" s="3"/>
      <c r="O639" s="2"/>
      <c r="P639" s="1"/>
      <c r="Q639" s="1"/>
      <c r="R639" s="1"/>
      <c r="S639" s="1"/>
      <c r="T639" s="1"/>
      <c r="U639" s="1"/>
      <c r="V639" s="1"/>
      <c r="W639" s="1"/>
      <c r="X639" s="1"/>
      <c r="Y639" s="1"/>
      <c r="Z639" s="1"/>
    </row>
    <row r="640">
      <c r="A640" s="1"/>
      <c r="B640" s="1"/>
      <c r="C640" s="1"/>
      <c r="D640" s="1"/>
      <c r="E640" s="1"/>
      <c r="F640" s="1"/>
      <c r="G640" s="1"/>
      <c r="H640" s="1"/>
      <c r="I640" s="1"/>
      <c r="J640" s="1"/>
      <c r="K640" s="2"/>
      <c r="L640" s="2"/>
      <c r="M640" s="2"/>
      <c r="N640" s="3"/>
      <c r="O640" s="2"/>
      <c r="P640" s="1"/>
      <c r="Q640" s="1"/>
      <c r="R640" s="1"/>
      <c r="S640" s="1"/>
      <c r="T640" s="1"/>
      <c r="U640" s="1"/>
      <c r="V640" s="1"/>
      <c r="W640" s="1"/>
      <c r="X640" s="1"/>
      <c r="Y640" s="1"/>
      <c r="Z640" s="1"/>
    </row>
    <row r="641">
      <c r="A641" s="1"/>
      <c r="B641" s="1"/>
      <c r="C641" s="1"/>
      <c r="D641" s="1"/>
      <c r="E641" s="1"/>
      <c r="F641" s="1"/>
      <c r="G641" s="1"/>
      <c r="H641" s="1"/>
      <c r="I641" s="1"/>
      <c r="J641" s="1"/>
      <c r="K641" s="2"/>
      <c r="L641" s="2"/>
      <c r="M641" s="2"/>
      <c r="N641" s="3"/>
      <c r="O641" s="2"/>
      <c r="P641" s="1"/>
      <c r="Q641" s="1"/>
      <c r="R641" s="1"/>
      <c r="S641" s="1"/>
      <c r="T641" s="1"/>
      <c r="U641" s="1"/>
      <c r="V641" s="1"/>
      <c r="W641" s="1"/>
      <c r="X641" s="1"/>
      <c r="Y641" s="1"/>
      <c r="Z641" s="1"/>
    </row>
    <row r="642">
      <c r="A642" s="1"/>
      <c r="B642" s="1"/>
      <c r="C642" s="1"/>
      <c r="D642" s="1"/>
      <c r="E642" s="1"/>
      <c r="F642" s="1"/>
      <c r="G642" s="1"/>
      <c r="H642" s="1"/>
      <c r="I642" s="1"/>
      <c r="J642" s="1"/>
      <c r="K642" s="2"/>
      <c r="L642" s="2"/>
      <c r="M642" s="2"/>
      <c r="N642" s="3"/>
      <c r="O642" s="2"/>
      <c r="P642" s="1"/>
      <c r="Q642" s="1"/>
      <c r="R642" s="1"/>
      <c r="S642" s="1"/>
      <c r="T642" s="1"/>
      <c r="U642" s="1"/>
      <c r="V642" s="1"/>
      <c r="W642" s="1"/>
      <c r="X642" s="1"/>
      <c r="Y642" s="1"/>
      <c r="Z642" s="1"/>
    </row>
    <row r="643">
      <c r="A643" s="1"/>
      <c r="B643" s="1"/>
      <c r="C643" s="1"/>
      <c r="D643" s="1"/>
      <c r="E643" s="1"/>
      <c r="F643" s="1"/>
      <c r="G643" s="1"/>
      <c r="H643" s="1"/>
      <c r="I643" s="1"/>
      <c r="J643" s="1"/>
      <c r="K643" s="2"/>
      <c r="L643" s="2"/>
      <c r="M643" s="2"/>
      <c r="N643" s="3"/>
      <c r="O643" s="2"/>
      <c r="P643" s="1"/>
      <c r="Q643" s="1"/>
      <c r="R643" s="1"/>
      <c r="S643" s="1"/>
      <c r="T643" s="1"/>
      <c r="U643" s="1"/>
      <c r="V643" s="1"/>
      <c r="W643" s="1"/>
      <c r="X643" s="1"/>
      <c r="Y643" s="1"/>
      <c r="Z643" s="1"/>
    </row>
    <row r="644">
      <c r="A644" s="1"/>
      <c r="B644" s="1"/>
      <c r="C644" s="1"/>
      <c r="D644" s="1"/>
      <c r="E644" s="1"/>
      <c r="F644" s="1"/>
      <c r="G644" s="1"/>
      <c r="H644" s="1"/>
      <c r="I644" s="1"/>
      <c r="J644" s="1"/>
      <c r="K644" s="2"/>
      <c r="L644" s="2"/>
      <c r="M644" s="2"/>
      <c r="N644" s="3"/>
      <c r="O644" s="2"/>
      <c r="P644" s="1"/>
      <c r="Q644" s="1"/>
      <c r="R644" s="1"/>
      <c r="S644" s="1"/>
      <c r="T644" s="1"/>
      <c r="U644" s="1"/>
      <c r="V644" s="1"/>
      <c r="W644" s="1"/>
      <c r="X644" s="1"/>
      <c r="Y644" s="1"/>
      <c r="Z644" s="1"/>
    </row>
    <row r="645">
      <c r="A645" s="1"/>
      <c r="B645" s="1"/>
      <c r="C645" s="1"/>
      <c r="D645" s="1"/>
      <c r="E645" s="1"/>
      <c r="F645" s="1"/>
      <c r="G645" s="1"/>
      <c r="H645" s="1"/>
      <c r="I645" s="1"/>
      <c r="J645" s="1"/>
      <c r="K645" s="2"/>
      <c r="L645" s="2"/>
      <c r="M645" s="2"/>
      <c r="N645" s="3"/>
      <c r="O645" s="2"/>
      <c r="P645" s="1"/>
      <c r="Q645" s="1"/>
      <c r="R645" s="1"/>
      <c r="S645" s="1"/>
      <c r="T645" s="1"/>
      <c r="U645" s="1"/>
      <c r="V645" s="1"/>
      <c r="W645" s="1"/>
      <c r="X645" s="1"/>
      <c r="Y645" s="1"/>
      <c r="Z645" s="1"/>
    </row>
    <row r="646">
      <c r="A646" s="1"/>
      <c r="B646" s="1"/>
      <c r="C646" s="1"/>
      <c r="D646" s="1"/>
      <c r="E646" s="1"/>
      <c r="F646" s="1"/>
      <c r="G646" s="1"/>
      <c r="H646" s="1"/>
      <c r="I646" s="1"/>
      <c r="J646" s="1"/>
      <c r="K646" s="2"/>
      <c r="L646" s="2"/>
      <c r="M646" s="2"/>
      <c r="N646" s="3"/>
      <c r="O646" s="2"/>
      <c r="P646" s="1"/>
      <c r="Q646" s="1"/>
      <c r="R646" s="1"/>
      <c r="S646" s="1"/>
      <c r="T646" s="1"/>
      <c r="U646" s="1"/>
      <c r="V646" s="1"/>
      <c r="W646" s="1"/>
      <c r="X646" s="1"/>
      <c r="Y646" s="1"/>
      <c r="Z646" s="1"/>
    </row>
    <row r="647">
      <c r="A647" s="1"/>
      <c r="B647" s="1"/>
      <c r="C647" s="1"/>
      <c r="D647" s="1"/>
      <c r="E647" s="1"/>
      <c r="F647" s="1"/>
      <c r="G647" s="1"/>
      <c r="H647" s="1"/>
      <c r="I647" s="1"/>
      <c r="J647" s="1"/>
      <c r="K647" s="2"/>
      <c r="L647" s="2"/>
      <c r="M647" s="2"/>
      <c r="N647" s="3"/>
      <c r="O647" s="2"/>
      <c r="P647" s="1"/>
      <c r="Q647" s="1"/>
      <c r="R647" s="1"/>
      <c r="S647" s="1"/>
      <c r="T647" s="1"/>
      <c r="U647" s="1"/>
      <c r="V647" s="1"/>
      <c r="W647" s="1"/>
      <c r="X647" s="1"/>
      <c r="Y647" s="1"/>
      <c r="Z647" s="1"/>
    </row>
    <row r="648">
      <c r="A648" s="1"/>
      <c r="B648" s="1"/>
      <c r="C648" s="1"/>
      <c r="D648" s="1"/>
      <c r="E648" s="1"/>
      <c r="F648" s="1"/>
      <c r="G648" s="1"/>
      <c r="H648" s="1"/>
      <c r="I648" s="1"/>
      <c r="J648" s="1"/>
      <c r="K648" s="2"/>
      <c r="L648" s="2"/>
      <c r="M648" s="2"/>
      <c r="N648" s="3"/>
      <c r="O648" s="2"/>
      <c r="P648" s="1"/>
      <c r="Q648" s="1"/>
      <c r="R648" s="1"/>
      <c r="S648" s="1"/>
      <c r="T648" s="1"/>
      <c r="U648" s="1"/>
      <c r="V648" s="1"/>
      <c r="W648" s="1"/>
      <c r="X648" s="1"/>
      <c r="Y648" s="1"/>
      <c r="Z648" s="1"/>
    </row>
    <row r="649">
      <c r="A649" s="1"/>
      <c r="B649" s="1"/>
      <c r="C649" s="1"/>
      <c r="D649" s="1"/>
      <c r="E649" s="1"/>
      <c r="F649" s="1"/>
      <c r="G649" s="1"/>
      <c r="H649" s="1"/>
      <c r="I649" s="1"/>
      <c r="J649" s="1"/>
      <c r="K649" s="2"/>
      <c r="L649" s="2"/>
      <c r="M649" s="2"/>
      <c r="N649" s="3"/>
      <c r="O649" s="2"/>
      <c r="P649" s="1"/>
      <c r="Q649" s="1"/>
      <c r="R649" s="1"/>
      <c r="S649" s="1"/>
      <c r="T649" s="1"/>
      <c r="U649" s="1"/>
      <c r="V649" s="1"/>
      <c r="W649" s="1"/>
      <c r="X649" s="1"/>
      <c r="Y649" s="1"/>
      <c r="Z649" s="1"/>
    </row>
    <row r="650">
      <c r="A650" s="1"/>
      <c r="B650" s="1"/>
      <c r="C650" s="1"/>
      <c r="D650" s="1"/>
      <c r="E650" s="1"/>
      <c r="F650" s="1"/>
      <c r="G650" s="1"/>
      <c r="H650" s="1"/>
      <c r="I650" s="1"/>
      <c r="J650" s="1"/>
      <c r="K650" s="2"/>
      <c r="L650" s="2"/>
      <c r="M650" s="2"/>
      <c r="N650" s="3"/>
      <c r="O650" s="2"/>
      <c r="P650" s="1"/>
      <c r="Q650" s="1"/>
      <c r="R650" s="1"/>
      <c r="S650" s="1"/>
      <c r="T650" s="1"/>
      <c r="U650" s="1"/>
      <c r="V650" s="1"/>
      <c r="W650" s="1"/>
      <c r="X650" s="1"/>
      <c r="Y650" s="1"/>
      <c r="Z650" s="1"/>
    </row>
    <row r="651">
      <c r="A651" s="1"/>
      <c r="B651" s="1"/>
      <c r="C651" s="1"/>
      <c r="D651" s="1"/>
      <c r="E651" s="1"/>
      <c r="F651" s="1"/>
      <c r="G651" s="1"/>
      <c r="H651" s="1"/>
      <c r="I651" s="1"/>
      <c r="J651" s="1"/>
      <c r="K651" s="2"/>
      <c r="L651" s="2"/>
      <c r="M651" s="2"/>
      <c r="N651" s="3"/>
      <c r="O651" s="2"/>
      <c r="P651" s="1"/>
      <c r="Q651" s="1"/>
      <c r="R651" s="1"/>
      <c r="S651" s="1"/>
      <c r="T651" s="1"/>
      <c r="U651" s="1"/>
      <c r="V651" s="1"/>
      <c r="W651" s="1"/>
      <c r="X651" s="1"/>
      <c r="Y651" s="1"/>
      <c r="Z651" s="1"/>
    </row>
    <row r="652">
      <c r="A652" s="1"/>
      <c r="B652" s="1"/>
      <c r="C652" s="1"/>
      <c r="D652" s="1"/>
      <c r="E652" s="1"/>
      <c r="F652" s="1"/>
      <c r="G652" s="1"/>
      <c r="H652" s="1"/>
      <c r="I652" s="1"/>
      <c r="J652" s="1"/>
      <c r="K652" s="2"/>
      <c r="L652" s="2"/>
      <c r="M652" s="2"/>
      <c r="N652" s="3"/>
      <c r="O652" s="2"/>
      <c r="P652" s="1"/>
      <c r="Q652" s="1"/>
      <c r="R652" s="1"/>
      <c r="S652" s="1"/>
      <c r="T652" s="1"/>
      <c r="U652" s="1"/>
      <c r="V652" s="1"/>
      <c r="W652" s="1"/>
      <c r="X652" s="1"/>
      <c r="Y652" s="1"/>
      <c r="Z652" s="1"/>
    </row>
    <row r="653">
      <c r="A653" s="1"/>
      <c r="B653" s="1"/>
      <c r="C653" s="1"/>
      <c r="D653" s="1"/>
      <c r="E653" s="1"/>
      <c r="F653" s="1"/>
      <c r="G653" s="1"/>
      <c r="H653" s="1"/>
      <c r="I653" s="1"/>
      <c r="J653" s="1"/>
      <c r="K653" s="2"/>
      <c r="L653" s="2"/>
      <c r="M653" s="2"/>
      <c r="N653" s="3"/>
      <c r="O653" s="2"/>
      <c r="P653" s="1"/>
      <c r="Q653" s="1"/>
      <c r="R653" s="1"/>
      <c r="S653" s="1"/>
      <c r="T653" s="1"/>
      <c r="U653" s="1"/>
      <c r="V653" s="1"/>
      <c r="W653" s="1"/>
      <c r="X653" s="1"/>
      <c r="Y653" s="1"/>
      <c r="Z653" s="1"/>
    </row>
    <row r="654">
      <c r="A654" s="1"/>
      <c r="B654" s="1"/>
      <c r="C654" s="1"/>
      <c r="D654" s="1"/>
      <c r="E654" s="1"/>
      <c r="F654" s="1"/>
      <c r="G654" s="1"/>
      <c r="H654" s="1"/>
      <c r="I654" s="1"/>
      <c r="J654" s="1"/>
      <c r="K654" s="2"/>
      <c r="L654" s="2"/>
      <c r="M654" s="2"/>
      <c r="N654" s="3"/>
      <c r="O654" s="2"/>
      <c r="P654" s="1"/>
      <c r="Q654" s="1"/>
      <c r="R654" s="1"/>
      <c r="S654" s="1"/>
      <c r="T654" s="1"/>
      <c r="U654" s="1"/>
      <c r="V654" s="1"/>
      <c r="W654" s="1"/>
      <c r="X654" s="1"/>
      <c r="Y654" s="1"/>
      <c r="Z654" s="1"/>
    </row>
    <row r="655">
      <c r="A655" s="1"/>
      <c r="B655" s="1"/>
      <c r="C655" s="1"/>
      <c r="D655" s="1"/>
      <c r="E655" s="1"/>
      <c r="F655" s="1"/>
      <c r="G655" s="1"/>
      <c r="H655" s="1"/>
      <c r="I655" s="1"/>
      <c r="J655" s="1"/>
      <c r="K655" s="2"/>
      <c r="L655" s="2"/>
      <c r="M655" s="2"/>
      <c r="N655" s="3"/>
      <c r="O655" s="2"/>
      <c r="P655" s="1"/>
      <c r="Q655" s="1"/>
      <c r="R655" s="1"/>
      <c r="S655" s="1"/>
      <c r="T655" s="1"/>
      <c r="U655" s="1"/>
      <c r="V655" s="1"/>
      <c r="W655" s="1"/>
      <c r="X655" s="1"/>
      <c r="Y655" s="1"/>
      <c r="Z655" s="1"/>
    </row>
    <row r="656">
      <c r="A656" s="1"/>
      <c r="B656" s="1"/>
      <c r="C656" s="1"/>
      <c r="D656" s="1"/>
      <c r="E656" s="1"/>
      <c r="F656" s="1"/>
      <c r="G656" s="1"/>
      <c r="H656" s="1"/>
      <c r="I656" s="1"/>
      <c r="J656" s="1"/>
      <c r="K656" s="2"/>
      <c r="L656" s="2"/>
      <c r="M656" s="2"/>
      <c r="N656" s="3"/>
      <c r="O656" s="2"/>
      <c r="P656" s="1"/>
      <c r="Q656" s="1"/>
      <c r="R656" s="1"/>
      <c r="S656" s="1"/>
      <c r="T656" s="1"/>
      <c r="U656" s="1"/>
      <c r="V656" s="1"/>
      <c r="W656" s="1"/>
      <c r="X656" s="1"/>
      <c r="Y656" s="1"/>
      <c r="Z656" s="1"/>
    </row>
    <row r="657">
      <c r="A657" s="1"/>
      <c r="B657" s="1"/>
      <c r="C657" s="1"/>
      <c r="D657" s="1"/>
      <c r="E657" s="1"/>
      <c r="F657" s="1"/>
      <c r="G657" s="1"/>
      <c r="H657" s="1"/>
      <c r="I657" s="1"/>
      <c r="J657" s="1"/>
      <c r="K657" s="2"/>
      <c r="L657" s="2"/>
      <c r="M657" s="2"/>
      <c r="N657" s="3"/>
      <c r="O657" s="2"/>
      <c r="P657" s="1"/>
      <c r="Q657" s="1"/>
      <c r="R657" s="1"/>
      <c r="S657" s="1"/>
      <c r="T657" s="1"/>
      <c r="U657" s="1"/>
      <c r="V657" s="1"/>
      <c r="W657" s="1"/>
      <c r="X657" s="1"/>
      <c r="Y657" s="1"/>
      <c r="Z657" s="1"/>
    </row>
    <row r="658">
      <c r="A658" s="1"/>
      <c r="B658" s="1"/>
      <c r="C658" s="1"/>
      <c r="D658" s="1"/>
      <c r="E658" s="1"/>
      <c r="F658" s="1"/>
      <c r="G658" s="1"/>
      <c r="H658" s="1"/>
      <c r="I658" s="1"/>
      <c r="J658" s="1"/>
      <c r="K658" s="2"/>
      <c r="L658" s="2"/>
      <c r="M658" s="2"/>
      <c r="N658" s="3"/>
      <c r="O658" s="2"/>
      <c r="P658" s="1"/>
      <c r="Q658" s="1"/>
      <c r="R658" s="1"/>
      <c r="S658" s="1"/>
      <c r="T658" s="1"/>
      <c r="U658" s="1"/>
      <c r="V658" s="1"/>
      <c r="W658" s="1"/>
      <c r="X658" s="1"/>
      <c r="Y658" s="1"/>
      <c r="Z658" s="1"/>
    </row>
    <row r="659">
      <c r="A659" s="1"/>
      <c r="B659" s="1"/>
      <c r="C659" s="1"/>
      <c r="D659" s="1"/>
      <c r="E659" s="1"/>
      <c r="F659" s="1"/>
      <c r="G659" s="1"/>
      <c r="H659" s="1"/>
      <c r="I659" s="1"/>
      <c r="J659" s="1"/>
      <c r="K659" s="2"/>
      <c r="L659" s="2"/>
      <c r="M659" s="2"/>
      <c r="N659" s="3"/>
      <c r="O659" s="2"/>
      <c r="P659" s="1"/>
      <c r="Q659" s="1"/>
      <c r="R659" s="1"/>
      <c r="S659" s="1"/>
      <c r="T659" s="1"/>
      <c r="U659" s="1"/>
      <c r="V659" s="1"/>
      <c r="W659" s="1"/>
      <c r="X659" s="1"/>
      <c r="Y659" s="1"/>
      <c r="Z659" s="1"/>
    </row>
    <row r="660">
      <c r="A660" s="1"/>
      <c r="B660" s="1"/>
      <c r="C660" s="1"/>
      <c r="D660" s="1"/>
      <c r="E660" s="1"/>
      <c r="F660" s="1"/>
      <c r="G660" s="1"/>
      <c r="H660" s="1"/>
      <c r="I660" s="1"/>
      <c r="J660" s="1"/>
      <c r="K660" s="2"/>
      <c r="L660" s="2"/>
      <c r="M660" s="2"/>
      <c r="N660" s="3"/>
      <c r="O660" s="2"/>
      <c r="P660" s="1"/>
      <c r="Q660" s="1"/>
      <c r="R660" s="1"/>
      <c r="S660" s="1"/>
      <c r="T660" s="1"/>
      <c r="U660" s="1"/>
      <c r="V660" s="1"/>
      <c r="W660" s="1"/>
      <c r="X660" s="1"/>
      <c r="Y660" s="1"/>
      <c r="Z660" s="1"/>
    </row>
    <row r="661">
      <c r="A661" s="1"/>
      <c r="B661" s="1"/>
      <c r="C661" s="1"/>
      <c r="D661" s="1"/>
      <c r="E661" s="1"/>
      <c r="F661" s="1"/>
      <c r="G661" s="1"/>
      <c r="H661" s="1"/>
      <c r="I661" s="1"/>
      <c r="J661" s="1"/>
      <c r="K661" s="2"/>
      <c r="L661" s="2"/>
      <c r="M661" s="2"/>
      <c r="N661" s="3"/>
      <c r="O661" s="2"/>
      <c r="P661" s="1"/>
      <c r="Q661" s="1"/>
      <c r="R661" s="1"/>
      <c r="S661" s="1"/>
      <c r="T661" s="1"/>
      <c r="U661" s="1"/>
      <c r="V661" s="1"/>
      <c r="W661" s="1"/>
      <c r="X661" s="1"/>
      <c r="Y661" s="1"/>
      <c r="Z661" s="1"/>
    </row>
    <row r="662">
      <c r="A662" s="1"/>
      <c r="B662" s="1"/>
      <c r="C662" s="1"/>
      <c r="D662" s="1"/>
      <c r="E662" s="1"/>
      <c r="F662" s="1"/>
      <c r="G662" s="1"/>
      <c r="H662" s="1"/>
      <c r="I662" s="1"/>
      <c r="J662" s="1"/>
      <c r="K662" s="2"/>
      <c r="L662" s="2"/>
      <c r="M662" s="2"/>
      <c r="N662" s="3"/>
      <c r="O662" s="2"/>
      <c r="P662" s="1"/>
      <c r="Q662" s="1"/>
      <c r="R662" s="1"/>
      <c r="S662" s="1"/>
      <c r="T662" s="1"/>
      <c r="U662" s="1"/>
      <c r="V662" s="1"/>
      <c r="W662" s="1"/>
      <c r="X662" s="1"/>
      <c r="Y662" s="1"/>
      <c r="Z662" s="1"/>
    </row>
    <row r="663">
      <c r="A663" s="1"/>
      <c r="B663" s="1"/>
      <c r="C663" s="1"/>
      <c r="D663" s="1"/>
      <c r="E663" s="1"/>
      <c r="F663" s="1"/>
      <c r="G663" s="1"/>
      <c r="H663" s="1"/>
      <c r="I663" s="1"/>
      <c r="J663" s="1"/>
      <c r="K663" s="2"/>
      <c r="L663" s="2"/>
      <c r="M663" s="2"/>
      <c r="N663" s="3"/>
      <c r="O663" s="2"/>
      <c r="P663" s="1"/>
      <c r="Q663" s="1"/>
      <c r="R663" s="1"/>
      <c r="S663" s="1"/>
      <c r="T663" s="1"/>
      <c r="U663" s="1"/>
      <c r="V663" s="1"/>
      <c r="W663" s="1"/>
      <c r="X663" s="1"/>
      <c r="Y663" s="1"/>
      <c r="Z663" s="1"/>
    </row>
    <row r="664">
      <c r="A664" s="1"/>
      <c r="B664" s="1"/>
      <c r="C664" s="1"/>
      <c r="D664" s="1"/>
      <c r="E664" s="1"/>
      <c r="F664" s="1"/>
      <c r="G664" s="1"/>
      <c r="H664" s="1"/>
      <c r="I664" s="1"/>
      <c r="J664" s="1"/>
      <c r="K664" s="2"/>
      <c r="L664" s="2"/>
      <c r="M664" s="2"/>
      <c r="N664" s="3"/>
      <c r="O664" s="2"/>
      <c r="P664" s="1"/>
      <c r="Q664" s="1"/>
      <c r="R664" s="1"/>
      <c r="S664" s="1"/>
      <c r="T664" s="1"/>
      <c r="U664" s="1"/>
      <c r="V664" s="1"/>
      <c r="W664" s="1"/>
      <c r="X664" s="1"/>
      <c r="Y664" s="1"/>
      <c r="Z664" s="1"/>
    </row>
    <row r="665">
      <c r="A665" s="1"/>
      <c r="B665" s="1"/>
      <c r="C665" s="1"/>
      <c r="D665" s="1"/>
      <c r="E665" s="1"/>
      <c r="F665" s="1"/>
      <c r="G665" s="1"/>
      <c r="H665" s="1"/>
      <c r="I665" s="1"/>
      <c r="J665" s="1"/>
      <c r="K665" s="2"/>
      <c r="L665" s="2"/>
      <c r="M665" s="2"/>
      <c r="N665" s="3"/>
      <c r="O665" s="2"/>
      <c r="P665" s="1"/>
      <c r="Q665" s="1"/>
      <c r="R665" s="1"/>
      <c r="S665" s="1"/>
      <c r="T665" s="1"/>
      <c r="U665" s="1"/>
      <c r="V665" s="1"/>
      <c r="W665" s="1"/>
      <c r="X665" s="1"/>
      <c r="Y665" s="1"/>
      <c r="Z665" s="1"/>
    </row>
    <row r="666">
      <c r="A666" s="1"/>
      <c r="B666" s="1"/>
      <c r="C666" s="1"/>
      <c r="D666" s="1"/>
      <c r="E666" s="1"/>
      <c r="F666" s="1"/>
      <c r="G666" s="1"/>
      <c r="H666" s="1"/>
      <c r="I666" s="1"/>
      <c r="J666" s="1"/>
      <c r="K666" s="2"/>
      <c r="L666" s="2"/>
      <c r="M666" s="2"/>
      <c r="N666" s="3"/>
      <c r="O666" s="2"/>
      <c r="P666" s="1"/>
      <c r="Q666" s="1"/>
      <c r="R666" s="1"/>
      <c r="S666" s="1"/>
      <c r="T666" s="1"/>
      <c r="U666" s="1"/>
      <c r="V666" s="1"/>
      <c r="W666" s="1"/>
      <c r="X666" s="1"/>
      <c r="Y666" s="1"/>
      <c r="Z666" s="1"/>
    </row>
    <row r="667">
      <c r="A667" s="1"/>
      <c r="B667" s="1"/>
      <c r="C667" s="1"/>
      <c r="D667" s="1"/>
      <c r="E667" s="1"/>
      <c r="F667" s="1"/>
      <c r="G667" s="1"/>
      <c r="H667" s="1"/>
      <c r="I667" s="1"/>
      <c r="J667" s="1"/>
      <c r="K667" s="2"/>
      <c r="L667" s="2"/>
      <c r="M667" s="2"/>
      <c r="N667" s="3"/>
      <c r="O667" s="2"/>
      <c r="P667" s="1"/>
      <c r="Q667" s="1"/>
      <c r="R667" s="1"/>
      <c r="S667" s="1"/>
      <c r="T667" s="1"/>
      <c r="U667" s="1"/>
      <c r="V667" s="1"/>
      <c r="W667" s="1"/>
      <c r="X667" s="1"/>
      <c r="Y667" s="1"/>
      <c r="Z667" s="1"/>
    </row>
    <row r="668">
      <c r="A668" s="1"/>
      <c r="B668" s="1"/>
      <c r="C668" s="1"/>
      <c r="D668" s="1"/>
      <c r="E668" s="1"/>
      <c r="F668" s="1"/>
      <c r="G668" s="1"/>
      <c r="H668" s="1"/>
      <c r="I668" s="1"/>
      <c r="J668" s="1"/>
      <c r="K668" s="2"/>
      <c r="L668" s="2"/>
      <c r="M668" s="2"/>
      <c r="N668" s="3"/>
      <c r="O668" s="2"/>
      <c r="P668" s="1"/>
      <c r="Q668" s="1"/>
      <c r="R668" s="1"/>
      <c r="S668" s="1"/>
      <c r="T668" s="1"/>
      <c r="U668" s="1"/>
      <c r="V668" s="1"/>
      <c r="W668" s="1"/>
      <c r="X668" s="1"/>
      <c r="Y668" s="1"/>
      <c r="Z668" s="1"/>
    </row>
    <row r="669">
      <c r="A669" s="1"/>
      <c r="B669" s="1"/>
      <c r="C669" s="1"/>
      <c r="D669" s="1"/>
      <c r="E669" s="1"/>
      <c r="F669" s="1"/>
      <c r="G669" s="1"/>
      <c r="H669" s="1"/>
      <c r="I669" s="1"/>
      <c r="J669" s="1"/>
      <c r="K669" s="2"/>
      <c r="L669" s="2"/>
      <c r="M669" s="2"/>
      <c r="N669" s="3"/>
      <c r="O669" s="2"/>
      <c r="P669" s="1"/>
      <c r="Q669" s="1"/>
      <c r="R669" s="1"/>
      <c r="S669" s="1"/>
      <c r="T669" s="1"/>
      <c r="U669" s="1"/>
      <c r="V669" s="1"/>
      <c r="W669" s="1"/>
      <c r="X669" s="1"/>
      <c r="Y669" s="1"/>
      <c r="Z669" s="1"/>
    </row>
    <row r="670">
      <c r="A670" s="1"/>
      <c r="B670" s="1"/>
      <c r="C670" s="1"/>
      <c r="D670" s="1"/>
      <c r="E670" s="1"/>
      <c r="F670" s="1"/>
      <c r="G670" s="1"/>
      <c r="H670" s="1"/>
      <c r="I670" s="1"/>
      <c r="J670" s="1"/>
      <c r="K670" s="2"/>
      <c r="L670" s="2"/>
      <c r="M670" s="2"/>
      <c r="N670" s="3"/>
      <c r="O670" s="2"/>
      <c r="P670" s="1"/>
      <c r="Q670" s="1"/>
      <c r="R670" s="1"/>
      <c r="S670" s="1"/>
      <c r="T670" s="1"/>
      <c r="U670" s="1"/>
      <c r="V670" s="1"/>
      <c r="W670" s="1"/>
      <c r="X670" s="1"/>
      <c r="Y670" s="1"/>
      <c r="Z670" s="1"/>
    </row>
    <row r="671">
      <c r="A671" s="1"/>
      <c r="B671" s="1"/>
      <c r="C671" s="1"/>
      <c r="D671" s="1"/>
      <c r="E671" s="1"/>
      <c r="F671" s="1"/>
      <c r="G671" s="1"/>
      <c r="H671" s="1"/>
      <c r="I671" s="1"/>
      <c r="J671" s="1"/>
      <c r="K671" s="2"/>
      <c r="L671" s="2"/>
      <c r="M671" s="2"/>
      <c r="N671" s="3"/>
      <c r="O671" s="2"/>
      <c r="P671" s="1"/>
      <c r="Q671" s="1"/>
      <c r="R671" s="1"/>
      <c r="S671" s="1"/>
      <c r="T671" s="1"/>
      <c r="U671" s="1"/>
      <c r="V671" s="1"/>
      <c r="W671" s="1"/>
      <c r="X671" s="1"/>
      <c r="Y671" s="1"/>
      <c r="Z671" s="1"/>
    </row>
    <row r="672">
      <c r="A672" s="1"/>
      <c r="B672" s="1"/>
      <c r="C672" s="1"/>
      <c r="D672" s="1"/>
      <c r="E672" s="1"/>
      <c r="F672" s="1"/>
      <c r="G672" s="1"/>
      <c r="H672" s="1"/>
      <c r="I672" s="1"/>
      <c r="J672" s="1"/>
      <c r="K672" s="2"/>
      <c r="L672" s="2"/>
      <c r="M672" s="2"/>
      <c r="N672" s="3"/>
      <c r="O672" s="2"/>
      <c r="P672" s="1"/>
      <c r="Q672" s="1"/>
      <c r="R672" s="1"/>
      <c r="S672" s="1"/>
      <c r="T672" s="1"/>
      <c r="U672" s="1"/>
      <c r="V672" s="1"/>
      <c r="W672" s="1"/>
      <c r="X672" s="1"/>
      <c r="Y672" s="1"/>
      <c r="Z672" s="1"/>
    </row>
    <row r="673">
      <c r="A673" s="1"/>
      <c r="B673" s="1"/>
      <c r="C673" s="1"/>
      <c r="D673" s="1"/>
      <c r="E673" s="1"/>
      <c r="F673" s="1"/>
      <c r="G673" s="1"/>
      <c r="H673" s="1"/>
      <c r="I673" s="1"/>
      <c r="J673" s="1"/>
      <c r="K673" s="2"/>
      <c r="L673" s="2"/>
      <c r="M673" s="2"/>
      <c r="N673" s="3"/>
      <c r="O673" s="2"/>
      <c r="P673" s="1"/>
      <c r="Q673" s="1"/>
      <c r="R673" s="1"/>
      <c r="S673" s="1"/>
      <c r="T673" s="1"/>
      <c r="U673" s="1"/>
      <c r="V673" s="1"/>
      <c r="W673" s="1"/>
      <c r="X673" s="1"/>
      <c r="Y673" s="1"/>
      <c r="Z673" s="1"/>
    </row>
    <row r="674">
      <c r="A674" s="1"/>
      <c r="B674" s="1"/>
      <c r="C674" s="1"/>
      <c r="D674" s="1"/>
      <c r="E674" s="1"/>
      <c r="F674" s="1"/>
      <c r="G674" s="1"/>
      <c r="H674" s="1"/>
      <c r="I674" s="1"/>
      <c r="J674" s="1"/>
      <c r="K674" s="2"/>
      <c r="L674" s="2"/>
      <c r="M674" s="2"/>
      <c r="N674" s="3"/>
      <c r="O674" s="2"/>
      <c r="P674" s="1"/>
      <c r="Q674" s="1"/>
      <c r="R674" s="1"/>
      <c r="S674" s="1"/>
      <c r="T674" s="1"/>
      <c r="U674" s="1"/>
      <c r="V674" s="1"/>
      <c r="W674" s="1"/>
      <c r="X674" s="1"/>
      <c r="Y674" s="1"/>
      <c r="Z674" s="1"/>
    </row>
    <row r="675">
      <c r="A675" s="1"/>
      <c r="B675" s="1"/>
      <c r="C675" s="1"/>
      <c r="D675" s="1"/>
      <c r="E675" s="1"/>
      <c r="F675" s="1"/>
      <c r="G675" s="1"/>
      <c r="H675" s="1"/>
      <c r="I675" s="1"/>
      <c r="J675" s="1"/>
      <c r="K675" s="2"/>
      <c r="L675" s="2"/>
      <c r="M675" s="2"/>
      <c r="N675" s="3"/>
      <c r="O675" s="2"/>
      <c r="P675" s="1"/>
      <c r="Q675" s="1"/>
      <c r="R675" s="1"/>
      <c r="S675" s="1"/>
      <c r="T675" s="1"/>
      <c r="U675" s="1"/>
      <c r="V675" s="1"/>
      <c r="W675" s="1"/>
      <c r="X675" s="1"/>
      <c r="Y675" s="1"/>
      <c r="Z675" s="1"/>
    </row>
    <row r="676">
      <c r="A676" s="1"/>
      <c r="B676" s="1"/>
      <c r="C676" s="1"/>
      <c r="D676" s="1"/>
      <c r="E676" s="1"/>
      <c r="F676" s="1"/>
      <c r="G676" s="1"/>
      <c r="H676" s="1"/>
      <c r="I676" s="1"/>
      <c r="J676" s="1"/>
      <c r="K676" s="2"/>
      <c r="L676" s="2"/>
      <c r="M676" s="2"/>
      <c r="N676" s="3"/>
      <c r="O676" s="2"/>
      <c r="P676" s="1"/>
      <c r="Q676" s="1"/>
      <c r="R676" s="1"/>
      <c r="S676" s="1"/>
      <c r="T676" s="1"/>
      <c r="U676" s="1"/>
      <c r="V676" s="1"/>
      <c r="W676" s="1"/>
      <c r="X676" s="1"/>
      <c r="Y676" s="1"/>
      <c r="Z676" s="1"/>
    </row>
    <row r="677">
      <c r="A677" s="1"/>
      <c r="B677" s="1"/>
      <c r="C677" s="1"/>
      <c r="D677" s="1"/>
      <c r="E677" s="1"/>
      <c r="F677" s="1"/>
      <c r="G677" s="1"/>
      <c r="H677" s="1"/>
      <c r="I677" s="1"/>
      <c r="J677" s="1"/>
      <c r="K677" s="2"/>
      <c r="L677" s="2"/>
      <c r="M677" s="2"/>
      <c r="N677" s="3"/>
      <c r="O677" s="2"/>
      <c r="P677" s="1"/>
      <c r="Q677" s="1"/>
      <c r="R677" s="1"/>
      <c r="S677" s="1"/>
      <c r="T677" s="1"/>
      <c r="U677" s="1"/>
      <c r="V677" s="1"/>
      <c r="W677" s="1"/>
      <c r="X677" s="1"/>
      <c r="Y677" s="1"/>
      <c r="Z677" s="1"/>
    </row>
    <row r="678">
      <c r="A678" s="1"/>
      <c r="B678" s="1"/>
      <c r="C678" s="1"/>
      <c r="D678" s="1"/>
      <c r="E678" s="1"/>
      <c r="F678" s="1"/>
      <c r="G678" s="1"/>
      <c r="H678" s="1"/>
      <c r="I678" s="1"/>
      <c r="J678" s="1"/>
      <c r="K678" s="2"/>
      <c r="L678" s="2"/>
      <c r="M678" s="2"/>
      <c r="N678" s="3"/>
      <c r="O678" s="2"/>
      <c r="P678" s="1"/>
      <c r="Q678" s="1"/>
      <c r="R678" s="1"/>
      <c r="S678" s="1"/>
      <c r="T678" s="1"/>
      <c r="U678" s="1"/>
      <c r="V678" s="1"/>
      <c r="W678" s="1"/>
      <c r="X678" s="1"/>
      <c r="Y678" s="1"/>
      <c r="Z678" s="1"/>
    </row>
    <row r="679">
      <c r="A679" s="1"/>
      <c r="B679" s="1"/>
      <c r="C679" s="1"/>
      <c r="D679" s="1"/>
      <c r="E679" s="1"/>
      <c r="F679" s="1"/>
      <c r="G679" s="1"/>
      <c r="H679" s="1"/>
      <c r="I679" s="1"/>
      <c r="J679" s="1"/>
      <c r="K679" s="2"/>
      <c r="L679" s="2"/>
      <c r="M679" s="2"/>
      <c r="N679" s="3"/>
      <c r="O679" s="2"/>
      <c r="P679" s="1"/>
      <c r="Q679" s="1"/>
      <c r="R679" s="1"/>
      <c r="S679" s="1"/>
      <c r="T679" s="1"/>
      <c r="U679" s="1"/>
      <c r="V679" s="1"/>
      <c r="W679" s="1"/>
      <c r="X679" s="1"/>
      <c r="Y679" s="1"/>
      <c r="Z679" s="1"/>
    </row>
    <row r="680">
      <c r="A680" s="1"/>
      <c r="B680" s="1"/>
      <c r="C680" s="1"/>
      <c r="D680" s="1"/>
      <c r="E680" s="1"/>
      <c r="F680" s="1"/>
      <c r="G680" s="1"/>
      <c r="H680" s="1"/>
      <c r="I680" s="1"/>
      <c r="J680" s="1"/>
      <c r="K680" s="2"/>
      <c r="L680" s="2"/>
      <c r="M680" s="2"/>
      <c r="N680" s="3"/>
      <c r="O680" s="2"/>
      <c r="P680" s="1"/>
      <c r="Q680" s="1"/>
      <c r="R680" s="1"/>
      <c r="S680" s="1"/>
      <c r="T680" s="1"/>
      <c r="U680" s="1"/>
      <c r="V680" s="1"/>
      <c r="W680" s="1"/>
      <c r="X680" s="1"/>
      <c r="Y680" s="1"/>
      <c r="Z680" s="1"/>
    </row>
    <row r="681">
      <c r="A681" s="1"/>
      <c r="B681" s="1"/>
      <c r="C681" s="1"/>
      <c r="D681" s="1"/>
      <c r="E681" s="1"/>
      <c r="F681" s="1"/>
      <c r="G681" s="1"/>
      <c r="H681" s="1"/>
      <c r="I681" s="1"/>
      <c r="J681" s="1"/>
      <c r="K681" s="2"/>
      <c r="L681" s="2"/>
      <c r="M681" s="2"/>
      <c r="N681" s="3"/>
      <c r="O681" s="2"/>
      <c r="P681" s="1"/>
      <c r="Q681" s="1"/>
      <c r="R681" s="1"/>
      <c r="S681" s="1"/>
      <c r="T681" s="1"/>
      <c r="U681" s="1"/>
      <c r="V681" s="1"/>
      <c r="W681" s="1"/>
      <c r="X681" s="1"/>
      <c r="Y681" s="1"/>
      <c r="Z681" s="1"/>
    </row>
    <row r="682">
      <c r="A682" s="1"/>
      <c r="B682" s="1"/>
      <c r="C682" s="1"/>
      <c r="D682" s="1"/>
      <c r="E682" s="1"/>
      <c r="F682" s="1"/>
      <c r="G682" s="1"/>
      <c r="H682" s="1"/>
      <c r="I682" s="1"/>
      <c r="J682" s="1"/>
      <c r="K682" s="2"/>
      <c r="L682" s="2"/>
      <c r="M682" s="2"/>
      <c r="N682" s="3"/>
      <c r="O682" s="2"/>
      <c r="P682" s="1"/>
      <c r="Q682" s="1"/>
      <c r="R682" s="1"/>
      <c r="S682" s="1"/>
      <c r="T682" s="1"/>
      <c r="U682" s="1"/>
      <c r="V682" s="1"/>
      <c r="W682" s="1"/>
      <c r="X682" s="1"/>
      <c r="Y682" s="1"/>
      <c r="Z682" s="1"/>
    </row>
    <row r="683">
      <c r="A683" s="1"/>
      <c r="B683" s="1"/>
      <c r="C683" s="1"/>
      <c r="D683" s="1"/>
      <c r="E683" s="1"/>
      <c r="F683" s="1"/>
      <c r="G683" s="1"/>
      <c r="H683" s="1"/>
      <c r="I683" s="1"/>
      <c r="J683" s="1"/>
      <c r="K683" s="2"/>
      <c r="L683" s="2"/>
      <c r="M683" s="2"/>
      <c r="N683" s="3"/>
      <c r="O683" s="2"/>
      <c r="P683" s="1"/>
      <c r="Q683" s="1"/>
      <c r="R683" s="1"/>
      <c r="S683" s="1"/>
      <c r="T683" s="1"/>
      <c r="U683" s="1"/>
      <c r="V683" s="1"/>
      <c r="W683" s="1"/>
      <c r="X683" s="1"/>
      <c r="Y683" s="1"/>
      <c r="Z683" s="1"/>
    </row>
    <row r="684">
      <c r="A684" s="1"/>
      <c r="B684" s="1"/>
      <c r="C684" s="1"/>
      <c r="D684" s="1"/>
      <c r="E684" s="1"/>
      <c r="F684" s="1"/>
      <c r="G684" s="1"/>
      <c r="H684" s="1"/>
      <c r="I684" s="1"/>
      <c r="J684" s="1"/>
      <c r="K684" s="2"/>
      <c r="L684" s="2"/>
      <c r="M684" s="2"/>
      <c r="N684" s="3"/>
      <c r="O684" s="2"/>
      <c r="P684" s="1"/>
      <c r="Q684" s="1"/>
      <c r="R684" s="1"/>
      <c r="S684" s="1"/>
      <c r="T684" s="1"/>
      <c r="U684" s="1"/>
      <c r="V684" s="1"/>
      <c r="W684" s="1"/>
      <c r="X684" s="1"/>
      <c r="Y684" s="1"/>
      <c r="Z684" s="1"/>
    </row>
    <row r="685">
      <c r="A685" s="1"/>
      <c r="B685" s="1"/>
      <c r="C685" s="1"/>
      <c r="D685" s="1"/>
      <c r="E685" s="1"/>
      <c r="F685" s="1"/>
      <c r="G685" s="1"/>
      <c r="H685" s="1"/>
      <c r="I685" s="1"/>
      <c r="J685" s="1"/>
      <c r="K685" s="2"/>
      <c r="L685" s="2"/>
      <c r="M685" s="2"/>
      <c r="N685" s="3"/>
      <c r="O685" s="2"/>
      <c r="P685" s="1"/>
      <c r="Q685" s="1"/>
      <c r="R685" s="1"/>
      <c r="S685" s="1"/>
      <c r="T685" s="1"/>
      <c r="U685" s="1"/>
      <c r="V685" s="1"/>
      <c r="W685" s="1"/>
      <c r="X685" s="1"/>
      <c r="Y685" s="1"/>
      <c r="Z685" s="1"/>
    </row>
    <row r="686">
      <c r="A686" s="1"/>
      <c r="B686" s="1"/>
      <c r="C686" s="1"/>
      <c r="D686" s="1"/>
      <c r="E686" s="1"/>
      <c r="F686" s="1"/>
      <c r="G686" s="1"/>
      <c r="H686" s="1"/>
      <c r="I686" s="1"/>
      <c r="J686" s="1"/>
      <c r="K686" s="2"/>
      <c r="L686" s="2"/>
      <c r="M686" s="2"/>
      <c r="N686" s="3"/>
      <c r="O686" s="2"/>
      <c r="P686" s="1"/>
      <c r="Q686" s="1"/>
      <c r="R686" s="1"/>
      <c r="S686" s="1"/>
      <c r="T686" s="1"/>
      <c r="U686" s="1"/>
      <c r="V686" s="1"/>
      <c r="W686" s="1"/>
      <c r="X686" s="1"/>
      <c r="Y686" s="1"/>
      <c r="Z686" s="1"/>
    </row>
    <row r="687">
      <c r="A687" s="1"/>
      <c r="B687" s="1"/>
      <c r="C687" s="1"/>
      <c r="D687" s="1"/>
      <c r="E687" s="1"/>
      <c r="F687" s="1"/>
      <c r="G687" s="1"/>
      <c r="H687" s="1"/>
      <c r="I687" s="1"/>
      <c r="J687" s="1"/>
      <c r="K687" s="2"/>
      <c r="L687" s="2"/>
      <c r="M687" s="2"/>
      <c r="N687" s="3"/>
      <c r="O687" s="2"/>
      <c r="P687" s="1"/>
      <c r="Q687" s="1"/>
      <c r="R687" s="1"/>
      <c r="S687" s="1"/>
      <c r="T687" s="1"/>
      <c r="U687" s="1"/>
      <c r="V687" s="1"/>
      <c r="W687" s="1"/>
      <c r="X687" s="1"/>
      <c r="Y687" s="1"/>
      <c r="Z687" s="1"/>
    </row>
    <row r="688">
      <c r="A688" s="1"/>
      <c r="B688" s="1"/>
      <c r="C688" s="1"/>
      <c r="D688" s="1"/>
      <c r="E688" s="1"/>
      <c r="F688" s="1"/>
      <c r="G688" s="1"/>
      <c r="H688" s="1"/>
      <c r="I688" s="1"/>
      <c r="J688" s="1"/>
      <c r="K688" s="2"/>
      <c r="L688" s="2"/>
      <c r="M688" s="2"/>
      <c r="N688" s="3"/>
      <c r="O688" s="2"/>
      <c r="P688" s="1"/>
      <c r="Q688" s="1"/>
      <c r="R688" s="1"/>
      <c r="S688" s="1"/>
      <c r="T688" s="1"/>
      <c r="U688" s="1"/>
      <c r="V688" s="1"/>
      <c r="W688" s="1"/>
      <c r="X688" s="1"/>
      <c r="Y688" s="1"/>
      <c r="Z688" s="1"/>
    </row>
    <row r="689">
      <c r="A689" s="1"/>
      <c r="B689" s="1"/>
      <c r="C689" s="1"/>
      <c r="D689" s="1"/>
      <c r="E689" s="1"/>
      <c r="F689" s="1"/>
      <c r="G689" s="1"/>
      <c r="H689" s="1"/>
      <c r="I689" s="1"/>
      <c r="J689" s="1"/>
      <c r="K689" s="2"/>
      <c r="L689" s="2"/>
      <c r="M689" s="2"/>
      <c r="N689" s="3"/>
      <c r="O689" s="2"/>
      <c r="P689" s="1"/>
      <c r="Q689" s="1"/>
      <c r="R689" s="1"/>
      <c r="S689" s="1"/>
      <c r="T689" s="1"/>
      <c r="U689" s="1"/>
      <c r="V689" s="1"/>
      <c r="W689" s="1"/>
      <c r="X689" s="1"/>
      <c r="Y689" s="1"/>
      <c r="Z689" s="1"/>
    </row>
    <row r="690">
      <c r="A690" s="1"/>
      <c r="B690" s="1"/>
      <c r="C690" s="1"/>
      <c r="D690" s="1"/>
      <c r="E690" s="1"/>
      <c r="F690" s="1"/>
      <c r="G690" s="1"/>
      <c r="H690" s="1"/>
      <c r="I690" s="1"/>
      <c r="J690" s="1"/>
      <c r="K690" s="2"/>
      <c r="L690" s="2"/>
      <c r="M690" s="2"/>
      <c r="N690" s="3"/>
      <c r="O690" s="2"/>
      <c r="P690" s="1"/>
      <c r="Q690" s="1"/>
      <c r="R690" s="1"/>
      <c r="S690" s="1"/>
      <c r="T690" s="1"/>
      <c r="U690" s="1"/>
      <c r="V690" s="1"/>
      <c r="W690" s="1"/>
      <c r="X690" s="1"/>
      <c r="Y690" s="1"/>
      <c r="Z690" s="1"/>
    </row>
    <row r="691">
      <c r="A691" s="1"/>
      <c r="B691" s="1"/>
      <c r="C691" s="1"/>
      <c r="D691" s="1"/>
      <c r="E691" s="1"/>
      <c r="F691" s="1"/>
      <c r="G691" s="1"/>
      <c r="H691" s="1"/>
      <c r="I691" s="1"/>
      <c r="J691" s="1"/>
      <c r="K691" s="2"/>
      <c r="L691" s="2"/>
      <c r="M691" s="2"/>
      <c r="N691" s="3"/>
      <c r="O691" s="2"/>
      <c r="P691" s="1"/>
      <c r="Q691" s="1"/>
      <c r="R691" s="1"/>
      <c r="S691" s="1"/>
      <c r="T691" s="1"/>
      <c r="U691" s="1"/>
      <c r="V691" s="1"/>
      <c r="W691" s="1"/>
      <c r="X691" s="1"/>
      <c r="Y691" s="1"/>
      <c r="Z691" s="1"/>
    </row>
    <row r="692">
      <c r="A692" s="1"/>
      <c r="B692" s="1"/>
      <c r="C692" s="1"/>
      <c r="D692" s="1"/>
      <c r="E692" s="1"/>
      <c r="F692" s="1"/>
      <c r="G692" s="1"/>
      <c r="H692" s="1"/>
      <c r="I692" s="1"/>
      <c r="J692" s="1"/>
      <c r="K692" s="2"/>
      <c r="L692" s="2"/>
      <c r="M692" s="2"/>
      <c r="N692" s="3"/>
      <c r="O692" s="2"/>
      <c r="P692" s="1"/>
      <c r="Q692" s="1"/>
      <c r="R692" s="1"/>
      <c r="S692" s="1"/>
      <c r="T692" s="1"/>
      <c r="U692" s="1"/>
      <c r="V692" s="1"/>
      <c r="W692" s="1"/>
      <c r="X692" s="1"/>
      <c r="Y692" s="1"/>
      <c r="Z692" s="1"/>
    </row>
    <row r="693">
      <c r="A693" s="1"/>
      <c r="B693" s="1"/>
      <c r="C693" s="1"/>
      <c r="D693" s="1"/>
      <c r="E693" s="1"/>
      <c r="F693" s="1"/>
      <c r="G693" s="1"/>
      <c r="H693" s="1"/>
      <c r="I693" s="1"/>
      <c r="J693" s="1"/>
      <c r="K693" s="2"/>
      <c r="L693" s="2"/>
      <c r="M693" s="2"/>
      <c r="N693" s="3"/>
      <c r="O693" s="2"/>
      <c r="P693" s="1"/>
      <c r="Q693" s="1"/>
      <c r="R693" s="1"/>
      <c r="S693" s="1"/>
      <c r="T693" s="1"/>
      <c r="U693" s="1"/>
      <c r="V693" s="1"/>
      <c r="W693" s="1"/>
      <c r="X693" s="1"/>
      <c r="Y693" s="1"/>
      <c r="Z693" s="1"/>
    </row>
    <row r="694">
      <c r="A694" s="1"/>
      <c r="B694" s="1"/>
      <c r="C694" s="1"/>
      <c r="D694" s="1"/>
      <c r="E694" s="1"/>
      <c r="F694" s="1"/>
      <c r="G694" s="1"/>
      <c r="H694" s="1"/>
      <c r="I694" s="1"/>
      <c r="J694" s="1"/>
      <c r="K694" s="2"/>
      <c r="L694" s="2"/>
      <c r="M694" s="2"/>
      <c r="N694" s="3"/>
      <c r="O694" s="2"/>
      <c r="P694" s="1"/>
      <c r="Q694" s="1"/>
      <c r="R694" s="1"/>
      <c r="S694" s="1"/>
      <c r="T694" s="1"/>
      <c r="U694" s="1"/>
      <c r="V694" s="1"/>
      <c r="W694" s="1"/>
      <c r="X694" s="1"/>
      <c r="Y694" s="1"/>
      <c r="Z694" s="1"/>
    </row>
    <row r="695">
      <c r="A695" s="1"/>
      <c r="B695" s="1"/>
      <c r="C695" s="1"/>
      <c r="D695" s="1"/>
      <c r="E695" s="1"/>
      <c r="F695" s="1"/>
      <c r="G695" s="1"/>
      <c r="H695" s="1"/>
      <c r="I695" s="1"/>
      <c r="J695" s="1"/>
      <c r="K695" s="2"/>
      <c r="L695" s="2"/>
      <c r="M695" s="2"/>
      <c r="N695" s="3"/>
      <c r="O695" s="2"/>
      <c r="P695" s="1"/>
      <c r="Q695" s="1"/>
      <c r="R695" s="1"/>
      <c r="S695" s="1"/>
      <c r="T695" s="1"/>
      <c r="U695" s="1"/>
      <c r="V695" s="1"/>
      <c r="W695" s="1"/>
      <c r="X695" s="1"/>
      <c r="Y695" s="1"/>
      <c r="Z695" s="1"/>
    </row>
    <row r="696">
      <c r="A696" s="1"/>
      <c r="B696" s="1"/>
      <c r="C696" s="1"/>
      <c r="D696" s="1"/>
      <c r="E696" s="1"/>
      <c r="F696" s="1"/>
      <c r="G696" s="1"/>
      <c r="H696" s="1"/>
      <c r="I696" s="1"/>
      <c r="J696" s="1"/>
      <c r="K696" s="2"/>
      <c r="L696" s="2"/>
      <c r="M696" s="2"/>
      <c r="N696" s="3"/>
      <c r="O696" s="2"/>
      <c r="P696" s="1"/>
      <c r="Q696" s="1"/>
      <c r="R696" s="1"/>
      <c r="S696" s="1"/>
      <c r="T696" s="1"/>
      <c r="U696" s="1"/>
      <c r="V696" s="1"/>
      <c r="W696" s="1"/>
      <c r="X696" s="1"/>
      <c r="Y696" s="1"/>
      <c r="Z696" s="1"/>
    </row>
    <row r="697">
      <c r="A697" s="1"/>
      <c r="B697" s="1"/>
      <c r="C697" s="1"/>
      <c r="D697" s="1"/>
      <c r="E697" s="1"/>
      <c r="F697" s="1"/>
      <c r="G697" s="1"/>
      <c r="H697" s="1"/>
      <c r="I697" s="1"/>
      <c r="J697" s="1"/>
      <c r="K697" s="2"/>
      <c r="L697" s="2"/>
      <c r="M697" s="2"/>
      <c r="N697" s="3"/>
      <c r="O697" s="2"/>
      <c r="P697" s="1"/>
      <c r="Q697" s="1"/>
      <c r="R697" s="1"/>
      <c r="S697" s="1"/>
      <c r="T697" s="1"/>
      <c r="U697" s="1"/>
      <c r="V697" s="1"/>
      <c r="W697" s="1"/>
      <c r="X697" s="1"/>
      <c r="Y697" s="1"/>
      <c r="Z697" s="1"/>
    </row>
    <row r="698">
      <c r="A698" s="1"/>
      <c r="B698" s="1"/>
      <c r="C698" s="1"/>
      <c r="D698" s="1"/>
      <c r="E698" s="1"/>
      <c r="F698" s="1"/>
      <c r="G698" s="1"/>
      <c r="H698" s="1"/>
      <c r="I698" s="1"/>
      <c r="J698" s="1"/>
      <c r="K698" s="2"/>
      <c r="L698" s="2"/>
      <c r="M698" s="2"/>
      <c r="N698" s="3"/>
      <c r="O698" s="2"/>
      <c r="P698" s="1"/>
      <c r="Q698" s="1"/>
      <c r="R698" s="1"/>
      <c r="S698" s="1"/>
      <c r="T698" s="1"/>
      <c r="U698" s="1"/>
      <c r="V698" s="1"/>
      <c r="W698" s="1"/>
      <c r="X698" s="1"/>
      <c r="Y698" s="1"/>
      <c r="Z698" s="1"/>
    </row>
    <row r="699">
      <c r="A699" s="1"/>
      <c r="B699" s="1"/>
      <c r="C699" s="1"/>
      <c r="D699" s="1"/>
      <c r="E699" s="1"/>
      <c r="F699" s="1"/>
      <c r="G699" s="1"/>
      <c r="H699" s="1"/>
      <c r="I699" s="1"/>
      <c r="J699" s="1"/>
      <c r="K699" s="2"/>
      <c r="L699" s="2"/>
      <c r="M699" s="2"/>
      <c r="N699" s="3"/>
      <c r="O699" s="2"/>
      <c r="P699" s="1"/>
      <c r="Q699" s="1"/>
      <c r="R699" s="1"/>
      <c r="S699" s="1"/>
      <c r="T699" s="1"/>
      <c r="U699" s="1"/>
      <c r="V699" s="1"/>
      <c r="W699" s="1"/>
      <c r="X699" s="1"/>
      <c r="Y699" s="1"/>
      <c r="Z699" s="1"/>
    </row>
    <row r="700">
      <c r="A700" s="1"/>
      <c r="B700" s="1"/>
      <c r="C700" s="1"/>
      <c r="D700" s="1"/>
      <c r="E700" s="1"/>
      <c r="F700" s="1"/>
      <c r="G700" s="1"/>
      <c r="H700" s="1"/>
      <c r="I700" s="1"/>
      <c r="J700" s="1"/>
      <c r="K700" s="2"/>
      <c r="L700" s="2"/>
      <c r="M700" s="2"/>
      <c r="N700" s="3"/>
      <c r="O700" s="2"/>
      <c r="P700" s="1"/>
      <c r="Q700" s="1"/>
      <c r="R700" s="1"/>
      <c r="S700" s="1"/>
      <c r="T700" s="1"/>
      <c r="U700" s="1"/>
      <c r="V700" s="1"/>
      <c r="W700" s="1"/>
      <c r="X700" s="1"/>
      <c r="Y700" s="1"/>
      <c r="Z700" s="1"/>
    </row>
    <row r="701">
      <c r="A701" s="1"/>
      <c r="B701" s="1"/>
      <c r="C701" s="1"/>
      <c r="D701" s="1"/>
      <c r="E701" s="1"/>
      <c r="F701" s="1"/>
      <c r="G701" s="1"/>
      <c r="H701" s="1"/>
      <c r="I701" s="1"/>
      <c r="J701" s="1"/>
      <c r="K701" s="2"/>
      <c r="L701" s="2"/>
      <c r="M701" s="2"/>
      <c r="N701" s="3"/>
      <c r="O701" s="2"/>
      <c r="P701" s="1"/>
      <c r="Q701" s="1"/>
      <c r="R701" s="1"/>
      <c r="S701" s="1"/>
      <c r="T701" s="1"/>
      <c r="U701" s="1"/>
      <c r="V701" s="1"/>
      <c r="W701" s="1"/>
      <c r="X701" s="1"/>
      <c r="Y701" s="1"/>
      <c r="Z701" s="1"/>
    </row>
    <row r="702">
      <c r="A702" s="1"/>
      <c r="B702" s="1"/>
      <c r="C702" s="1"/>
      <c r="D702" s="1"/>
      <c r="E702" s="1"/>
      <c r="F702" s="1"/>
      <c r="G702" s="1"/>
      <c r="H702" s="1"/>
      <c r="I702" s="1"/>
      <c r="J702" s="1"/>
      <c r="K702" s="2"/>
      <c r="L702" s="2"/>
      <c r="M702" s="2"/>
      <c r="N702" s="3"/>
      <c r="O702" s="2"/>
      <c r="P702" s="1"/>
      <c r="Q702" s="1"/>
      <c r="R702" s="1"/>
      <c r="S702" s="1"/>
      <c r="T702" s="1"/>
      <c r="U702" s="1"/>
      <c r="V702" s="1"/>
      <c r="W702" s="1"/>
      <c r="X702" s="1"/>
      <c r="Y702" s="1"/>
      <c r="Z702" s="1"/>
    </row>
    <row r="703">
      <c r="A703" s="1"/>
      <c r="B703" s="1"/>
      <c r="C703" s="1"/>
      <c r="D703" s="1"/>
      <c r="E703" s="1"/>
      <c r="F703" s="1"/>
      <c r="G703" s="1"/>
      <c r="H703" s="1"/>
      <c r="I703" s="1"/>
      <c r="J703" s="1"/>
      <c r="K703" s="2"/>
      <c r="L703" s="2"/>
      <c r="M703" s="2"/>
      <c r="N703" s="3"/>
      <c r="O703" s="2"/>
      <c r="P703" s="1"/>
      <c r="Q703" s="1"/>
      <c r="R703" s="1"/>
      <c r="S703" s="1"/>
      <c r="T703" s="1"/>
      <c r="U703" s="1"/>
      <c r="V703" s="1"/>
      <c r="W703" s="1"/>
      <c r="X703" s="1"/>
      <c r="Y703" s="1"/>
      <c r="Z703" s="1"/>
    </row>
    <row r="704">
      <c r="A704" s="1"/>
      <c r="B704" s="1"/>
      <c r="C704" s="1"/>
      <c r="D704" s="1"/>
      <c r="E704" s="1"/>
      <c r="F704" s="1"/>
      <c r="G704" s="1"/>
      <c r="H704" s="1"/>
      <c r="I704" s="1"/>
      <c r="J704" s="1"/>
      <c r="K704" s="2"/>
      <c r="L704" s="2"/>
      <c r="M704" s="2"/>
      <c r="N704" s="3"/>
      <c r="O704" s="2"/>
      <c r="P704" s="1"/>
      <c r="Q704" s="1"/>
      <c r="R704" s="1"/>
      <c r="S704" s="1"/>
      <c r="T704" s="1"/>
      <c r="U704" s="1"/>
      <c r="V704" s="1"/>
      <c r="W704" s="1"/>
      <c r="X704" s="1"/>
      <c r="Y704" s="1"/>
      <c r="Z704" s="1"/>
    </row>
    <row r="705">
      <c r="A705" s="1"/>
      <c r="B705" s="1"/>
      <c r="C705" s="1"/>
      <c r="D705" s="1"/>
      <c r="E705" s="1"/>
      <c r="F705" s="1"/>
      <c r="G705" s="1"/>
      <c r="H705" s="1"/>
      <c r="I705" s="1"/>
      <c r="J705" s="1"/>
      <c r="K705" s="2"/>
      <c r="L705" s="2"/>
      <c r="M705" s="2"/>
      <c r="N705" s="3"/>
      <c r="O705" s="2"/>
      <c r="P705" s="1"/>
      <c r="Q705" s="1"/>
      <c r="R705" s="1"/>
      <c r="S705" s="1"/>
      <c r="T705" s="1"/>
      <c r="U705" s="1"/>
      <c r="V705" s="1"/>
      <c r="W705" s="1"/>
      <c r="X705" s="1"/>
      <c r="Y705" s="1"/>
      <c r="Z705" s="1"/>
    </row>
    <row r="706">
      <c r="A706" s="1"/>
      <c r="B706" s="1"/>
      <c r="C706" s="1"/>
      <c r="D706" s="1"/>
      <c r="E706" s="1"/>
      <c r="F706" s="1"/>
      <c r="G706" s="1"/>
      <c r="H706" s="1"/>
      <c r="I706" s="1"/>
      <c r="J706" s="1"/>
      <c r="K706" s="2"/>
      <c r="L706" s="2"/>
      <c r="M706" s="2"/>
      <c r="N706" s="3"/>
      <c r="O706" s="2"/>
      <c r="P706" s="1"/>
      <c r="Q706" s="1"/>
      <c r="R706" s="1"/>
      <c r="S706" s="1"/>
      <c r="T706" s="1"/>
      <c r="U706" s="1"/>
      <c r="V706" s="1"/>
      <c r="W706" s="1"/>
      <c r="X706" s="1"/>
      <c r="Y706" s="1"/>
      <c r="Z706" s="1"/>
    </row>
    <row r="707">
      <c r="A707" s="1"/>
      <c r="B707" s="1"/>
      <c r="C707" s="1"/>
      <c r="D707" s="1"/>
      <c r="E707" s="1"/>
      <c r="F707" s="1"/>
      <c r="G707" s="1"/>
      <c r="H707" s="1"/>
      <c r="I707" s="1"/>
      <c r="J707" s="1"/>
      <c r="K707" s="2"/>
      <c r="L707" s="2"/>
      <c r="M707" s="2"/>
      <c r="N707" s="3"/>
      <c r="O707" s="2"/>
      <c r="P707" s="1"/>
      <c r="Q707" s="1"/>
      <c r="R707" s="1"/>
      <c r="S707" s="1"/>
      <c r="T707" s="1"/>
      <c r="U707" s="1"/>
      <c r="V707" s="1"/>
      <c r="W707" s="1"/>
      <c r="X707" s="1"/>
      <c r="Y707" s="1"/>
      <c r="Z707" s="1"/>
    </row>
    <row r="708">
      <c r="A708" s="1"/>
      <c r="B708" s="1"/>
      <c r="C708" s="1"/>
      <c r="D708" s="1"/>
      <c r="E708" s="1"/>
      <c r="F708" s="1"/>
      <c r="G708" s="1"/>
      <c r="H708" s="1"/>
      <c r="I708" s="1"/>
      <c r="J708" s="1"/>
      <c r="K708" s="2"/>
      <c r="L708" s="2"/>
      <c r="M708" s="2"/>
      <c r="N708" s="3"/>
      <c r="O708" s="2"/>
      <c r="P708" s="1"/>
      <c r="Q708" s="1"/>
      <c r="R708" s="1"/>
      <c r="S708" s="1"/>
      <c r="T708" s="1"/>
      <c r="U708" s="1"/>
      <c r="V708" s="1"/>
      <c r="W708" s="1"/>
      <c r="X708" s="1"/>
      <c r="Y708" s="1"/>
      <c r="Z708" s="1"/>
    </row>
    <row r="709">
      <c r="A709" s="1"/>
      <c r="B709" s="1"/>
      <c r="C709" s="1"/>
      <c r="D709" s="1"/>
      <c r="E709" s="1"/>
      <c r="F709" s="1"/>
      <c r="G709" s="1"/>
      <c r="H709" s="1"/>
      <c r="I709" s="1"/>
      <c r="J709" s="1"/>
      <c r="K709" s="2"/>
      <c r="L709" s="2"/>
      <c r="M709" s="2"/>
      <c r="N709" s="3"/>
      <c r="O709" s="2"/>
      <c r="P709" s="1"/>
      <c r="Q709" s="1"/>
      <c r="R709" s="1"/>
      <c r="S709" s="1"/>
      <c r="T709" s="1"/>
      <c r="U709" s="1"/>
      <c r="V709" s="1"/>
      <c r="W709" s="1"/>
      <c r="X709" s="1"/>
      <c r="Y709" s="1"/>
      <c r="Z709" s="1"/>
    </row>
    <row r="710">
      <c r="A710" s="1"/>
      <c r="B710" s="1"/>
      <c r="C710" s="1"/>
      <c r="D710" s="1"/>
      <c r="E710" s="1"/>
      <c r="F710" s="1"/>
      <c r="G710" s="1"/>
      <c r="H710" s="1"/>
      <c r="I710" s="1"/>
      <c r="J710" s="1"/>
      <c r="K710" s="2"/>
      <c r="L710" s="2"/>
      <c r="M710" s="2"/>
      <c r="N710" s="3"/>
      <c r="O710" s="2"/>
      <c r="P710" s="1"/>
      <c r="Q710" s="1"/>
      <c r="R710" s="1"/>
      <c r="S710" s="1"/>
      <c r="T710" s="1"/>
      <c r="U710" s="1"/>
      <c r="V710" s="1"/>
      <c r="W710" s="1"/>
      <c r="X710" s="1"/>
      <c r="Y710" s="1"/>
      <c r="Z710" s="1"/>
    </row>
    <row r="711">
      <c r="A711" s="1"/>
      <c r="B711" s="1"/>
      <c r="C711" s="1"/>
      <c r="D711" s="1"/>
      <c r="E711" s="1"/>
      <c r="F711" s="1"/>
      <c r="G711" s="1"/>
      <c r="H711" s="1"/>
      <c r="I711" s="1"/>
      <c r="J711" s="1"/>
      <c r="K711" s="2"/>
      <c r="L711" s="2"/>
      <c r="M711" s="2"/>
      <c r="N711" s="3"/>
      <c r="O711" s="2"/>
      <c r="P711" s="1"/>
      <c r="Q711" s="1"/>
      <c r="R711" s="1"/>
      <c r="S711" s="1"/>
      <c r="T711" s="1"/>
      <c r="U711" s="1"/>
      <c r="V711" s="1"/>
      <c r="W711" s="1"/>
      <c r="X711" s="1"/>
      <c r="Y711" s="1"/>
      <c r="Z711" s="1"/>
    </row>
    <row r="712">
      <c r="A712" s="1"/>
      <c r="B712" s="1"/>
      <c r="C712" s="1"/>
      <c r="D712" s="1"/>
      <c r="E712" s="1"/>
      <c r="F712" s="1"/>
      <c r="G712" s="1"/>
      <c r="H712" s="1"/>
      <c r="I712" s="1"/>
      <c r="J712" s="1"/>
      <c r="K712" s="2"/>
      <c r="L712" s="2"/>
      <c r="M712" s="2"/>
      <c r="N712" s="3"/>
      <c r="O712" s="2"/>
      <c r="P712" s="1"/>
      <c r="Q712" s="1"/>
      <c r="R712" s="1"/>
      <c r="S712" s="1"/>
      <c r="T712" s="1"/>
      <c r="U712" s="1"/>
      <c r="V712" s="1"/>
      <c r="W712" s="1"/>
      <c r="X712" s="1"/>
      <c r="Y712" s="1"/>
      <c r="Z712" s="1"/>
    </row>
    <row r="713">
      <c r="A713" s="1"/>
      <c r="B713" s="1"/>
      <c r="C713" s="1"/>
      <c r="D713" s="1"/>
      <c r="E713" s="1"/>
      <c r="F713" s="1"/>
      <c r="G713" s="1"/>
      <c r="H713" s="1"/>
      <c r="I713" s="1"/>
      <c r="J713" s="1"/>
      <c r="K713" s="2"/>
      <c r="L713" s="2"/>
      <c r="M713" s="2"/>
      <c r="N713" s="3"/>
      <c r="O713" s="2"/>
      <c r="P713" s="1"/>
      <c r="Q713" s="1"/>
      <c r="R713" s="1"/>
      <c r="S713" s="1"/>
      <c r="T713" s="1"/>
      <c r="U713" s="1"/>
      <c r="V713" s="1"/>
      <c r="W713" s="1"/>
      <c r="X713" s="1"/>
      <c r="Y713" s="1"/>
      <c r="Z713" s="1"/>
    </row>
    <row r="714">
      <c r="A714" s="1"/>
      <c r="B714" s="1"/>
      <c r="C714" s="1"/>
      <c r="D714" s="1"/>
      <c r="E714" s="1"/>
      <c r="F714" s="1"/>
      <c r="G714" s="1"/>
      <c r="H714" s="1"/>
      <c r="I714" s="1"/>
      <c r="J714" s="1"/>
      <c r="K714" s="2"/>
      <c r="L714" s="2"/>
      <c r="M714" s="2"/>
      <c r="N714" s="3"/>
      <c r="O714" s="2"/>
      <c r="P714" s="1"/>
      <c r="Q714" s="1"/>
      <c r="R714" s="1"/>
      <c r="S714" s="1"/>
      <c r="T714" s="1"/>
      <c r="U714" s="1"/>
      <c r="V714" s="1"/>
      <c r="W714" s="1"/>
      <c r="X714" s="1"/>
      <c r="Y714" s="1"/>
      <c r="Z714" s="1"/>
    </row>
    <row r="715">
      <c r="A715" s="1"/>
      <c r="B715" s="1"/>
      <c r="C715" s="1"/>
      <c r="D715" s="1"/>
      <c r="E715" s="1"/>
      <c r="F715" s="1"/>
      <c r="G715" s="1"/>
      <c r="H715" s="1"/>
      <c r="I715" s="1"/>
      <c r="J715" s="1"/>
      <c r="K715" s="2"/>
      <c r="L715" s="2"/>
      <c r="M715" s="2"/>
      <c r="N715" s="3"/>
      <c r="O715" s="2"/>
      <c r="P715" s="1"/>
      <c r="Q715" s="1"/>
      <c r="R715" s="1"/>
      <c r="S715" s="1"/>
      <c r="T715" s="1"/>
      <c r="U715" s="1"/>
      <c r="V715" s="1"/>
      <c r="W715" s="1"/>
      <c r="X715" s="1"/>
      <c r="Y715" s="1"/>
      <c r="Z715" s="1"/>
    </row>
    <row r="716">
      <c r="A716" s="1"/>
      <c r="B716" s="1"/>
      <c r="C716" s="1"/>
      <c r="D716" s="1"/>
      <c r="E716" s="1"/>
      <c r="F716" s="1"/>
      <c r="G716" s="1"/>
      <c r="H716" s="1"/>
      <c r="I716" s="1"/>
      <c r="J716" s="1"/>
      <c r="K716" s="2"/>
      <c r="L716" s="2"/>
      <c r="M716" s="2"/>
      <c r="N716" s="3"/>
      <c r="O716" s="2"/>
      <c r="P716" s="1"/>
      <c r="Q716" s="1"/>
      <c r="R716" s="1"/>
      <c r="S716" s="1"/>
      <c r="T716" s="1"/>
      <c r="U716" s="1"/>
      <c r="V716" s="1"/>
      <c r="W716" s="1"/>
      <c r="X716" s="1"/>
      <c r="Y716" s="1"/>
      <c r="Z716" s="1"/>
    </row>
    <row r="717">
      <c r="A717" s="1"/>
      <c r="B717" s="1"/>
      <c r="C717" s="1"/>
      <c r="D717" s="1"/>
      <c r="E717" s="1"/>
      <c r="F717" s="1"/>
      <c r="G717" s="1"/>
      <c r="H717" s="1"/>
      <c r="I717" s="1"/>
      <c r="J717" s="1"/>
      <c r="K717" s="2"/>
      <c r="L717" s="2"/>
      <c r="M717" s="2"/>
      <c r="N717" s="3"/>
      <c r="O717" s="2"/>
      <c r="P717" s="1"/>
      <c r="Q717" s="1"/>
      <c r="R717" s="1"/>
      <c r="S717" s="1"/>
      <c r="T717" s="1"/>
      <c r="U717" s="1"/>
      <c r="V717" s="1"/>
      <c r="W717" s="1"/>
      <c r="X717" s="1"/>
      <c r="Y717" s="1"/>
      <c r="Z717" s="1"/>
    </row>
    <row r="718">
      <c r="A718" s="1"/>
      <c r="B718" s="1"/>
      <c r="C718" s="1"/>
      <c r="D718" s="1"/>
      <c r="E718" s="1"/>
      <c r="F718" s="1"/>
      <c r="G718" s="1"/>
      <c r="H718" s="1"/>
      <c r="I718" s="1"/>
      <c r="J718" s="1"/>
      <c r="K718" s="2"/>
      <c r="L718" s="2"/>
      <c r="M718" s="2"/>
      <c r="N718" s="3"/>
      <c r="O718" s="2"/>
      <c r="P718" s="1"/>
      <c r="Q718" s="1"/>
      <c r="R718" s="1"/>
      <c r="S718" s="1"/>
      <c r="T718" s="1"/>
      <c r="U718" s="1"/>
      <c r="V718" s="1"/>
      <c r="W718" s="1"/>
      <c r="X718" s="1"/>
      <c r="Y718" s="1"/>
      <c r="Z718" s="1"/>
    </row>
    <row r="719">
      <c r="A719" s="1"/>
      <c r="B719" s="1"/>
      <c r="C719" s="1"/>
      <c r="D719" s="1"/>
      <c r="E719" s="1"/>
      <c r="F719" s="1"/>
      <c r="G719" s="1"/>
      <c r="H719" s="1"/>
      <c r="I719" s="1"/>
      <c r="J719" s="1"/>
      <c r="K719" s="2"/>
      <c r="L719" s="2"/>
      <c r="M719" s="2"/>
      <c r="N719" s="3"/>
      <c r="O719" s="2"/>
      <c r="P719" s="1"/>
      <c r="Q719" s="1"/>
      <c r="R719" s="1"/>
      <c r="S719" s="1"/>
      <c r="T719" s="1"/>
      <c r="U719" s="1"/>
      <c r="V719" s="1"/>
      <c r="W719" s="1"/>
      <c r="X719" s="1"/>
      <c r="Y719" s="1"/>
      <c r="Z719" s="1"/>
    </row>
    <row r="720">
      <c r="A720" s="1"/>
      <c r="B720" s="1"/>
      <c r="C720" s="1"/>
      <c r="D720" s="1"/>
      <c r="E720" s="1"/>
      <c r="F720" s="1"/>
      <c r="G720" s="1"/>
      <c r="H720" s="1"/>
      <c r="I720" s="1"/>
      <c r="J720" s="1"/>
      <c r="K720" s="2"/>
      <c r="L720" s="2"/>
      <c r="M720" s="2"/>
      <c r="N720" s="3"/>
      <c r="O720" s="2"/>
      <c r="P720" s="1"/>
      <c r="Q720" s="1"/>
      <c r="R720" s="1"/>
      <c r="S720" s="1"/>
      <c r="T720" s="1"/>
      <c r="U720" s="1"/>
      <c r="V720" s="1"/>
      <c r="W720" s="1"/>
      <c r="X720" s="1"/>
      <c r="Y720" s="1"/>
      <c r="Z720" s="1"/>
    </row>
    <row r="721">
      <c r="A721" s="1"/>
      <c r="B721" s="1"/>
      <c r="C721" s="1"/>
      <c r="D721" s="1"/>
      <c r="E721" s="1"/>
      <c r="F721" s="1"/>
      <c r="G721" s="1"/>
      <c r="H721" s="1"/>
      <c r="I721" s="1"/>
      <c r="J721" s="1"/>
      <c r="K721" s="2"/>
      <c r="L721" s="2"/>
      <c r="M721" s="2"/>
      <c r="N721" s="3"/>
      <c r="O721" s="2"/>
      <c r="P721" s="1"/>
      <c r="Q721" s="1"/>
      <c r="R721" s="1"/>
      <c r="S721" s="1"/>
      <c r="T721" s="1"/>
      <c r="U721" s="1"/>
      <c r="V721" s="1"/>
      <c r="W721" s="1"/>
      <c r="X721" s="1"/>
      <c r="Y721" s="1"/>
      <c r="Z721" s="1"/>
    </row>
    <row r="722">
      <c r="A722" s="1"/>
      <c r="B722" s="1"/>
      <c r="C722" s="1"/>
      <c r="D722" s="1"/>
      <c r="E722" s="1"/>
      <c r="F722" s="1"/>
      <c r="G722" s="1"/>
      <c r="H722" s="1"/>
      <c r="I722" s="1"/>
      <c r="J722" s="1"/>
      <c r="K722" s="2"/>
      <c r="L722" s="2"/>
      <c r="M722" s="2"/>
      <c r="N722" s="3"/>
      <c r="O722" s="2"/>
      <c r="P722" s="1"/>
      <c r="Q722" s="1"/>
      <c r="R722" s="1"/>
      <c r="S722" s="1"/>
      <c r="T722" s="1"/>
      <c r="U722" s="1"/>
      <c r="V722" s="1"/>
      <c r="W722" s="1"/>
      <c r="X722" s="1"/>
      <c r="Y722" s="1"/>
      <c r="Z722" s="1"/>
    </row>
    <row r="723">
      <c r="A723" s="1"/>
      <c r="B723" s="1"/>
      <c r="C723" s="1"/>
      <c r="D723" s="1"/>
      <c r="E723" s="1"/>
      <c r="F723" s="1"/>
      <c r="G723" s="1"/>
      <c r="H723" s="1"/>
      <c r="I723" s="1"/>
      <c r="J723" s="1"/>
      <c r="K723" s="2"/>
      <c r="L723" s="2"/>
      <c r="M723" s="2"/>
      <c r="N723" s="3"/>
      <c r="O723" s="2"/>
      <c r="P723" s="1"/>
      <c r="Q723" s="1"/>
      <c r="R723" s="1"/>
      <c r="S723" s="1"/>
      <c r="T723" s="1"/>
      <c r="U723" s="1"/>
      <c r="V723" s="1"/>
      <c r="W723" s="1"/>
      <c r="X723" s="1"/>
      <c r="Y723" s="1"/>
      <c r="Z723" s="1"/>
    </row>
    <row r="724">
      <c r="A724" s="1"/>
      <c r="B724" s="1"/>
      <c r="C724" s="1"/>
      <c r="D724" s="1"/>
      <c r="E724" s="1"/>
      <c r="F724" s="1"/>
      <c r="G724" s="1"/>
      <c r="H724" s="1"/>
      <c r="I724" s="1"/>
      <c r="J724" s="1"/>
      <c r="K724" s="2"/>
      <c r="L724" s="2"/>
      <c r="M724" s="2"/>
      <c r="N724" s="3"/>
      <c r="O724" s="2"/>
      <c r="P724" s="1"/>
      <c r="Q724" s="1"/>
      <c r="R724" s="1"/>
      <c r="S724" s="1"/>
      <c r="T724" s="1"/>
      <c r="U724" s="1"/>
      <c r="V724" s="1"/>
      <c r="W724" s="1"/>
      <c r="X724" s="1"/>
      <c r="Y724" s="1"/>
      <c r="Z724" s="1"/>
    </row>
    <row r="725">
      <c r="A725" s="1"/>
      <c r="B725" s="1"/>
      <c r="C725" s="1"/>
      <c r="D725" s="1"/>
      <c r="E725" s="1"/>
      <c r="F725" s="1"/>
      <c r="G725" s="1"/>
      <c r="H725" s="1"/>
      <c r="I725" s="1"/>
      <c r="J725" s="1"/>
      <c r="K725" s="2"/>
      <c r="L725" s="2"/>
      <c r="M725" s="2"/>
      <c r="N725" s="3"/>
      <c r="O725" s="2"/>
      <c r="P725" s="1"/>
      <c r="Q725" s="1"/>
      <c r="R725" s="1"/>
      <c r="S725" s="1"/>
      <c r="T725" s="1"/>
      <c r="U725" s="1"/>
      <c r="V725" s="1"/>
      <c r="W725" s="1"/>
      <c r="X725" s="1"/>
      <c r="Y725" s="1"/>
      <c r="Z725" s="1"/>
    </row>
    <row r="726">
      <c r="A726" s="1"/>
      <c r="B726" s="1"/>
      <c r="C726" s="1"/>
      <c r="D726" s="1"/>
      <c r="E726" s="1"/>
      <c r="F726" s="1"/>
      <c r="G726" s="1"/>
      <c r="H726" s="1"/>
      <c r="I726" s="1"/>
      <c r="J726" s="1"/>
      <c r="K726" s="2"/>
      <c r="L726" s="2"/>
      <c r="M726" s="2"/>
      <c r="N726" s="3"/>
      <c r="O726" s="2"/>
      <c r="P726" s="1"/>
      <c r="Q726" s="1"/>
      <c r="R726" s="1"/>
      <c r="S726" s="1"/>
      <c r="T726" s="1"/>
      <c r="U726" s="1"/>
      <c r="V726" s="1"/>
      <c r="W726" s="1"/>
      <c r="X726" s="1"/>
      <c r="Y726" s="1"/>
      <c r="Z726" s="1"/>
    </row>
    <row r="727">
      <c r="A727" s="1"/>
      <c r="B727" s="1"/>
      <c r="C727" s="1"/>
      <c r="D727" s="1"/>
      <c r="E727" s="1"/>
      <c r="F727" s="1"/>
      <c r="G727" s="1"/>
      <c r="H727" s="1"/>
      <c r="I727" s="1"/>
      <c r="J727" s="1"/>
      <c r="K727" s="2"/>
      <c r="L727" s="2"/>
      <c r="M727" s="2"/>
      <c r="N727" s="3"/>
      <c r="O727" s="2"/>
      <c r="P727" s="1"/>
      <c r="Q727" s="1"/>
      <c r="R727" s="1"/>
      <c r="S727" s="1"/>
      <c r="T727" s="1"/>
      <c r="U727" s="1"/>
      <c r="V727" s="1"/>
      <c r="W727" s="1"/>
      <c r="X727" s="1"/>
      <c r="Y727" s="1"/>
      <c r="Z727" s="1"/>
    </row>
    <row r="728">
      <c r="A728" s="1"/>
      <c r="B728" s="1"/>
      <c r="C728" s="1"/>
      <c r="D728" s="1"/>
      <c r="E728" s="1"/>
      <c r="F728" s="1"/>
      <c r="G728" s="1"/>
      <c r="H728" s="1"/>
      <c r="I728" s="1"/>
      <c r="J728" s="1"/>
      <c r="K728" s="2"/>
      <c r="L728" s="2"/>
      <c r="M728" s="2"/>
      <c r="N728" s="3"/>
      <c r="O728" s="2"/>
      <c r="P728" s="1"/>
      <c r="Q728" s="1"/>
      <c r="R728" s="1"/>
      <c r="S728" s="1"/>
      <c r="T728" s="1"/>
      <c r="U728" s="1"/>
      <c r="V728" s="1"/>
      <c r="W728" s="1"/>
      <c r="X728" s="1"/>
      <c r="Y728" s="1"/>
      <c r="Z728" s="1"/>
    </row>
    <row r="729">
      <c r="A729" s="1"/>
      <c r="B729" s="1"/>
      <c r="C729" s="1"/>
      <c r="D729" s="1"/>
      <c r="E729" s="1"/>
      <c r="F729" s="1"/>
      <c r="G729" s="1"/>
      <c r="H729" s="1"/>
      <c r="I729" s="1"/>
      <c r="J729" s="1"/>
      <c r="K729" s="2"/>
      <c r="L729" s="2"/>
      <c r="M729" s="2"/>
      <c r="N729" s="3"/>
      <c r="O729" s="2"/>
      <c r="P729" s="1"/>
      <c r="Q729" s="1"/>
      <c r="R729" s="1"/>
      <c r="S729" s="1"/>
      <c r="T729" s="1"/>
      <c r="U729" s="1"/>
      <c r="V729" s="1"/>
      <c r="W729" s="1"/>
      <c r="X729" s="1"/>
      <c r="Y729" s="1"/>
      <c r="Z729" s="1"/>
    </row>
    <row r="730">
      <c r="A730" s="1"/>
      <c r="B730" s="1"/>
      <c r="C730" s="1"/>
      <c r="D730" s="1"/>
      <c r="E730" s="1"/>
      <c r="F730" s="1"/>
      <c r="G730" s="1"/>
      <c r="H730" s="1"/>
      <c r="I730" s="1"/>
      <c r="J730" s="1"/>
      <c r="K730" s="2"/>
      <c r="L730" s="2"/>
      <c r="M730" s="2"/>
      <c r="N730" s="3"/>
      <c r="O730" s="2"/>
      <c r="P730" s="1"/>
      <c r="Q730" s="1"/>
      <c r="R730" s="1"/>
      <c r="S730" s="1"/>
      <c r="T730" s="1"/>
      <c r="U730" s="1"/>
      <c r="V730" s="1"/>
      <c r="W730" s="1"/>
      <c r="X730" s="1"/>
      <c r="Y730" s="1"/>
      <c r="Z730" s="1"/>
    </row>
    <row r="731">
      <c r="A731" s="1"/>
      <c r="B731" s="1"/>
      <c r="C731" s="1"/>
      <c r="D731" s="1"/>
      <c r="E731" s="1"/>
      <c r="F731" s="1"/>
      <c r="G731" s="1"/>
      <c r="H731" s="1"/>
      <c r="I731" s="1"/>
      <c r="J731" s="1"/>
      <c r="K731" s="2"/>
      <c r="L731" s="2"/>
      <c r="M731" s="2"/>
      <c r="N731" s="3"/>
      <c r="O731" s="2"/>
      <c r="P731" s="1"/>
      <c r="Q731" s="1"/>
      <c r="R731" s="1"/>
      <c r="S731" s="1"/>
      <c r="T731" s="1"/>
      <c r="U731" s="1"/>
      <c r="V731" s="1"/>
      <c r="W731" s="1"/>
      <c r="X731" s="1"/>
      <c r="Y731" s="1"/>
      <c r="Z731" s="1"/>
    </row>
    <row r="732">
      <c r="A732" s="1"/>
      <c r="B732" s="1"/>
      <c r="C732" s="1"/>
      <c r="D732" s="1"/>
      <c r="E732" s="1"/>
      <c r="F732" s="1"/>
      <c r="G732" s="1"/>
      <c r="H732" s="1"/>
      <c r="I732" s="1"/>
      <c r="J732" s="1"/>
      <c r="K732" s="2"/>
      <c r="L732" s="2"/>
      <c r="M732" s="2"/>
      <c r="N732" s="3"/>
      <c r="O732" s="2"/>
      <c r="P732" s="1"/>
      <c r="Q732" s="1"/>
      <c r="R732" s="1"/>
      <c r="S732" s="1"/>
      <c r="T732" s="1"/>
      <c r="U732" s="1"/>
      <c r="V732" s="1"/>
      <c r="W732" s="1"/>
      <c r="X732" s="1"/>
      <c r="Y732" s="1"/>
      <c r="Z732" s="1"/>
    </row>
    <row r="733">
      <c r="A733" s="1"/>
      <c r="B733" s="1"/>
      <c r="C733" s="1"/>
      <c r="D733" s="1"/>
      <c r="E733" s="1"/>
      <c r="F733" s="1"/>
      <c r="G733" s="1"/>
      <c r="H733" s="1"/>
      <c r="I733" s="1"/>
      <c r="J733" s="1"/>
      <c r="K733" s="2"/>
      <c r="L733" s="2"/>
      <c r="M733" s="2"/>
      <c r="N733" s="3"/>
      <c r="O733" s="2"/>
      <c r="P733" s="1"/>
      <c r="Q733" s="1"/>
      <c r="R733" s="1"/>
      <c r="S733" s="1"/>
      <c r="T733" s="1"/>
      <c r="U733" s="1"/>
      <c r="V733" s="1"/>
      <c r="W733" s="1"/>
      <c r="X733" s="1"/>
      <c r="Y733" s="1"/>
      <c r="Z733" s="1"/>
    </row>
    <row r="734">
      <c r="A734" s="1"/>
      <c r="B734" s="1"/>
      <c r="C734" s="1"/>
      <c r="D734" s="1"/>
      <c r="E734" s="1"/>
      <c r="F734" s="1"/>
      <c r="G734" s="1"/>
      <c r="H734" s="1"/>
      <c r="I734" s="1"/>
      <c r="J734" s="1"/>
      <c r="K734" s="2"/>
      <c r="L734" s="2"/>
      <c r="M734" s="2"/>
      <c r="N734" s="3"/>
      <c r="O734" s="2"/>
      <c r="P734" s="1"/>
      <c r="Q734" s="1"/>
      <c r="R734" s="1"/>
      <c r="S734" s="1"/>
      <c r="T734" s="1"/>
      <c r="U734" s="1"/>
      <c r="V734" s="1"/>
      <c r="W734" s="1"/>
      <c r="X734" s="1"/>
      <c r="Y734" s="1"/>
      <c r="Z734" s="1"/>
    </row>
    <row r="735">
      <c r="A735" s="1"/>
      <c r="B735" s="1"/>
      <c r="C735" s="1"/>
      <c r="D735" s="1"/>
      <c r="E735" s="1"/>
      <c r="F735" s="1"/>
      <c r="G735" s="1"/>
      <c r="H735" s="1"/>
      <c r="I735" s="1"/>
      <c r="J735" s="1"/>
      <c r="K735" s="2"/>
      <c r="L735" s="2"/>
      <c r="M735" s="2"/>
      <c r="N735" s="3"/>
      <c r="O735" s="2"/>
      <c r="P735" s="1"/>
      <c r="Q735" s="1"/>
      <c r="R735" s="1"/>
      <c r="S735" s="1"/>
      <c r="T735" s="1"/>
      <c r="U735" s="1"/>
      <c r="V735" s="1"/>
      <c r="W735" s="1"/>
      <c r="X735" s="1"/>
      <c r="Y735" s="1"/>
      <c r="Z735" s="1"/>
    </row>
    <row r="736">
      <c r="A736" s="1"/>
      <c r="B736" s="1"/>
      <c r="C736" s="1"/>
      <c r="D736" s="1"/>
      <c r="E736" s="1"/>
      <c r="F736" s="1"/>
      <c r="G736" s="1"/>
      <c r="H736" s="1"/>
      <c r="I736" s="1"/>
      <c r="J736" s="1"/>
      <c r="K736" s="2"/>
      <c r="L736" s="2"/>
      <c r="M736" s="2"/>
      <c r="N736" s="3"/>
      <c r="O736" s="2"/>
      <c r="P736" s="1"/>
      <c r="Q736" s="1"/>
      <c r="R736" s="1"/>
      <c r="S736" s="1"/>
      <c r="T736" s="1"/>
      <c r="U736" s="1"/>
      <c r="V736" s="1"/>
      <c r="W736" s="1"/>
      <c r="X736" s="1"/>
      <c r="Y736" s="1"/>
      <c r="Z736" s="1"/>
    </row>
    <row r="737">
      <c r="A737" s="1"/>
      <c r="B737" s="1"/>
      <c r="C737" s="1"/>
      <c r="D737" s="1"/>
      <c r="E737" s="1"/>
      <c r="F737" s="1"/>
      <c r="G737" s="1"/>
      <c r="H737" s="1"/>
      <c r="I737" s="1"/>
      <c r="J737" s="1"/>
      <c r="K737" s="2"/>
      <c r="L737" s="2"/>
      <c r="M737" s="2"/>
      <c r="N737" s="3"/>
      <c r="O737" s="2"/>
      <c r="P737" s="1"/>
      <c r="Q737" s="1"/>
      <c r="R737" s="1"/>
      <c r="S737" s="1"/>
      <c r="T737" s="1"/>
      <c r="U737" s="1"/>
      <c r="V737" s="1"/>
      <c r="W737" s="1"/>
      <c r="X737" s="1"/>
      <c r="Y737" s="1"/>
      <c r="Z737" s="1"/>
    </row>
    <row r="738">
      <c r="A738" s="1"/>
      <c r="B738" s="1"/>
      <c r="C738" s="1"/>
      <c r="D738" s="1"/>
      <c r="E738" s="1"/>
      <c r="F738" s="1"/>
      <c r="G738" s="1"/>
      <c r="H738" s="1"/>
      <c r="I738" s="1"/>
      <c r="J738" s="1"/>
      <c r="K738" s="2"/>
      <c r="L738" s="2"/>
      <c r="M738" s="2"/>
      <c r="N738" s="3"/>
      <c r="O738" s="2"/>
      <c r="P738" s="1"/>
      <c r="Q738" s="1"/>
      <c r="R738" s="1"/>
      <c r="S738" s="1"/>
      <c r="T738" s="1"/>
      <c r="U738" s="1"/>
      <c r="V738" s="1"/>
      <c r="W738" s="1"/>
      <c r="X738" s="1"/>
      <c r="Y738" s="1"/>
      <c r="Z738" s="1"/>
    </row>
    <row r="739">
      <c r="A739" s="1"/>
      <c r="B739" s="1"/>
      <c r="C739" s="1"/>
      <c r="D739" s="1"/>
      <c r="E739" s="1"/>
      <c r="F739" s="1"/>
      <c r="G739" s="1"/>
      <c r="H739" s="1"/>
      <c r="I739" s="1"/>
      <c r="J739" s="1"/>
      <c r="K739" s="2"/>
      <c r="L739" s="2"/>
      <c r="M739" s="2"/>
      <c r="N739" s="3"/>
      <c r="O739" s="2"/>
      <c r="P739" s="1"/>
      <c r="Q739" s="1"/>
      <c r="R739" s="1"/>
      <c r="S739" s="1"/>
      <c r="T739" s="1"/>
      <c r="U739" s="1"/>
      <c r="V739" s="1"/>
      <c r="W739" s="1"/>
      <c r="X739" s="1"/>
      <c r="Y739" s="1"/>
      <c r="Z739" s="1"/>
    </row>
    <row r="740">
      <c r="A740" s="1"/>
      <c r="B740" s="1"/>
      <c r="C740" s="1"/>
      <c r="D740" s="1"/>
      <c r="E740" s="1"/>
      <c r="F740" s="1"/>
      <c r="G740" s="1"/>
      <c r="H740" s="1"/>
      <c r="I740" s="1"/>
      <c r="J740" s="1"/>
      <c r="K740" s="2"/>
      <c r="L740" s="2"/>
      <c r="M740" s="2"/>
      <c r="N740" s="3"/>
      <c r="O740" s="2"/>
      <c r="P740" s="1"/>
      <c r="Q740" s="1"/>
      <c r="R740" s="1"/>
      <c r="S740" s="1"/>
      <c r="T740" s="1"/>
      <c r="U740" s="1"/>
      <c r="V740" s="1"/>
      <c r="W740" s="1"/>
      <c r="X740" s="1"/>
      <c r="Y740" s="1"/>
      <c r="Z740" s="1"/>
    </row>
    <row r="741">
      <c r="A741" s="1"/>
      <c r="B741" s="1"/>
      <c r="C741" s="1"/>
      <c r="D741" s="1"/>
      <c r="E741" s="1"/>
      <c r="F741" s="1"/>
      <c r="G741" s="1"/>
      <c r="H741" s="1"/>
      <c r="I741" s="1"/>
      <c r="J741" s="1"/>
      <c r="K741" s="2"/>
      <c r="L741" s="2"/>
      <c r="M741" s="2"/>
      <c r="N741" s="3"/>
      <c r="O741" s="2"/>
      <c r="P741" s="1"/>
      <c r="Q741" s="1"/>
      <c r="R741" s="1"/>
      <c r="S741" s="1"/>
      <c r="T741" s="1"/>
      <c r="U741" s="1"/>
      <c r="V741" s="1"/>
      <c r="W741" s="1"/>
      <c r="X741" s="1"/>
      <c r="Y741" s="1"/>
      <c r="Z741" s="1"/>
    </row>
    <row r="742">
      <c r="A742" s="1"/>
      <c r="B742" s="1"/>
      <c r="C742" s="1"/>
      <c r="D742" s="1"/>
      <c r="E742" s="1"/>
      <c r="F742" s="1"/>
      <c r="G742" s="1"/>
      <c r="H742" s="1"/>
      <c r="I742" s="1"/>
      <c r="J742" s="1"/>
      <c r="K742" s="2"/>
      <c r="L742" s="2"/>
      <c r="M742" s="2"/>
      <c r="N742" s="3"/>
      <c r="O742" s="2"/>
      <c r="P742" s="1"/>
      <c r="Q742" s="1"/>
      <c r="R742" s="1"/>
      <c r="S742" s="1"/>
      <c r="T742" s="1"/>
      <c r="U742" s="1"/>
      <c r="V742" s="1"/>
      <c r="W742" s="1"/>
      <c r="X742" s="1"/>
      <c r="Y742" s="1"/>
      <c r="Z742" s="1"/>
    </row>
    <row r="743">
      <c r="A743" s="1"/>
      <c r="B743" s="1"/>
      <c r="C743" s="1"/>
      <c r="D743" s="1"/>
      <c r="E743" s="1"/>
      <c r="F743" s="1"/>
      <c r="G743" s="1"/>
      <c r="H743" s="1"/>
      <c r="I743" s="1"/>
      <c r="J743" s="1"/>
      <c r="K743" s="2"/>
      <c r="L743" s="2"/>
      <c r="M743" s="2"/>
      <c r="N743" s="3"/>
      <c r="O743" s="2"/>
      <c r="P743" s="1"/>
      <c r="Q743" s="1"/>
      <c r="R743" s="1"/>
      <c r="S743" s="1"/>
      <c r="T743" s="1"/>
      <c r="U743" s="1"/>
      <c r="V743" s="1"/>
      <c r="W743" s="1"/>
      <c r="X743" s="1"/>
      <c r="Y743" s="1"/>
      <c r="Z743" s="1"/>
    </row>
    <row r="744">
      <c r="A744" s="1"/>
      <c r="B744" s="1"/>
      <c r="C744" s="1"/>
      <c r="D744" s="1"/>
      <c r="E744" s="1"/>
      <c r="F744" s="1"/>
      <c r="G744" s="1"/>
      <c r="H744" s="1"/>
      <c r="I744" s="1"/>
      <c r="J744" s="1"/>
      <c r="K744" s="2"/>
      <c r="L744" s="2"/>
      <c r="M744" s="2"/>
      <c r="N744" s="3"/>
      <c r="O744" s="2"/>
      <c r="P744" s="1"/>
      <c r="Q744" s="1"/>
      <c r="R744" s="1"/>
      <c r="S744" s="1"/>
      <c r="T744" s="1"/>
      <c r="U744" s="1"/>
      <c r="V744" s="1"/>
      <c r="W744" s="1"/>
      <c r="X744" s="1"/>
      <c r="Y744" s="1"/>
      <c r="Z744" s="1"/>
    </row>
    <row r="745">
      <c r="A745" s="1"/>
      <c r="B745" s="1"/>
      <c r="C745" s="1"/>
      <c r="D745" s="1"/>
      <c r="E745" s="1"/>
      <c r="F745" s="1"/>
      <c r="G745" s="1"/>
      <c r="H745" s="1"/>
      <c r="I745" s="1"/>
      <c r="J745" s="1"/>
      <c r="K745" s="2"/>
      <c r="L745" s="2"/>
      <c r="M745" s="2"/>
      <c r="N745" s="3"/>
      <c r="O745" s="2"/>
      <c r="P745" s="1"/>
      <c r="Q745" s="1"/>
      <c r="R745" s="1"/>
      <c r="S745" s="1"/>
      <c r="T745" s="1"/>
      <c r="U745" s="1"/>
      <c r="V745" s="1"/>
      <c r="W745" s="1"/>
      <c r="X745" s="1"/>
      <c r="Y745" s="1"/>
      <c r="Z745" s="1"/>
    </row>
    <row r="746">
      <c r="A746" s="1"/>
      <c r="B746" s="1"/>
      <c r="C746" s="1"/>
      <c r="D746" s="1"/>
      <c r="E746" s="1"/>
      <c r="F746" s="1"/>
      <c r="G746" s="1"/>
      <c r="H746" s="1"/>
      <c r="I746" s="1"/>
      <c r="J746" s="1"/>
      <c r="K746" s="2"/>
      <c r="L746" s="2"/>
      <c r="M746" s="2"/>
      <c r="N746" s="3"/>
      <c r="O746" s="2"/>
      <c r="P746" s="1"/>
      <c r="Q746" s="1"/>
      <c r="R746" s="1"/>
      <c r="S746" s="1"/>
      <c r="T746" s="1"/>
      <c r="U746" s="1"/>
      <c r="V746" s="1"/>
      <c r="W746" s="1"/>
      <c r="X746" s="1"/>
      <c r="Y746" s="1"/>
      <c r="Z746" s="1"/>
    </row>
    <row r="747">
      <c r="A747" s="1"/>
      <c r="B747" s="1"/>
      <c r="C747" s="1"/>
      <c r="D747" s="1"/>
      <c r="E747" s="1"/>
      <c r="F747" s="1"/>
      <c r="G747" s="1"/>
      <c r="H747" s="1"/>
      <c r="I747" s="1"/>
      <c r="J747" s="1"/>
      <c r="K747" s="2"/>
      <c r="L747" s="2"/>
      <c r="M747" s="2"/>
      <c r="N747" s="3"/>
      <c r="O747" s="2"/>
      <c r="P747" s="1"/>
      <c r="Q747" s="1"/>
      <c r="R747" s="1"/>
      <c r="S747" s="1"/>
      <c r="T747" s="1"/>
      <c r="U747" s="1"/>
      <c r="V747" s="1"/>
      <c r="W747" s="1"/>
      <c r="X747" s="1"/>
      <c r="Y747" s="1"/>
      <c r="Z747" s="1"/>
    </row>
    <row r="748">
      <c r="A748" s="1"/>
      <c r="B748" s="1"/>
      <c r="C748" s="1"/>
      <c r="D748" s="1"/>
      <c r="E748" s="1"/>
      <c r="F748" s="1"/>
      <c r="G748" s="1"/>
      <c r="H748" s="1"/>
      <c r="I748" s="1"/>
      <c r="J748" s="1"/>
      <c r="K748" s="2"/>
      <c r="L748" s="2"/>
      <c r="M748" s="2"/>
      <c r="N748" s="3"/>
      <c r="O748" s="2"/>
      <c r="P748" s="1"/>
      <c r="Q748" s="1"/>
      <c r="R748" s="1"/>
      <c r="S748" s="1"/>
      <c r="T748" s="1"/>
      <c r="U748" s="1"/>
      <c r="V748" s="1"/>
      <c r="W748" s="1"/>
      <c r="X748" s="1"/>
      <c r="Y748" s="1"/>
      <c r="Z748" s="1"/>
    </row>
    <row r="749">
      <c r="A749" s="1"/>
      <c r="B749" s="1"/>
      <c r="C749" s="1"/>
      <c r="D749" s="1"/>
      <c r="E749" s="1"/>
      <c r="F749" s="1"/>
      <c r="G749" s="1"/>
      <c r="H749" s="1"/>
      <c r="I749" s="1"/>
      <c r="J749" s="1"/>
      <c r="K749" s="2"/>
      <c r="L749" s="2"/>
      <c r="M749" s="2"/>
      <c r="N749" s="3"/>
      <c r="O749" s="2"/>
      <c r="P749" s="1"/>
      <c r="Q749" s="1"/>
      <c r="R749" s="1"/>
      <c r="S749" s="1"/>
      <c r="T749" s="1"/>
      <c r="U749" s="1"/>
      <c r="V749" s="1"/>
      <c r="W749" s="1"/>
      <c r="X749" s="1"/>
      <c r="Y749" s="1"/>
      <c r="Z749" s="1"/>
    </row>
    <row r="750">
      <c r="A750" s="1"/>
      <c r="B750" s="1"/>
      <c r="C750" s="1"/>
      <c r="D750" s="1"/>
      <c r="E750" s="1"/>
      <c r="F750" s="1"/>
      <c r="G750" s="1"/>
      <c r="H750" s="1"/>
      <c r="I750" s="1"/>
      <c r="J750" s="1"/>
      <c r="K750" s="2"/>
      <c r="L750" s="2"/>
      <c r="M750" s="2"/>
      <c r="N750" s="3"/>
      <c r="O750" s="2"/>
      <c r="P750" s="1"/>
      <c r="Q750" s="1"/>
      <c r="R750" s="1"/>
      <c r="S750" s="1"/>
      <c r="T750" s="1"/>
      <c r="U750" s="1"/>
      <c r="V750" s="1"/>
      <c r="W750" s="1"/>
      <c r="X750" s="1"/>
      <c r="Y750" s="1"/>
      <c r="Z750" s="1"/>
    </row>
    <row r="751">
      <c r="A751" s="1"/>
      <c r="B751" s="1"/>
      <c r="C751" s="1"/>
      <c r="D751" s="1"/>
      <c r="E751" s="1"/>
      <c r="F751" s="1"/>
      <c r="G751" s="1"/>
      <c r="H751" s="1"/>
      <c r="I751" s="1"/>
      <c r="J751" s="1"/>
      <c r="K751" s="2"/>
      <c r="L751" s="2"/>
      <c r="M751" s="2"/>
      <c r="N751" s="3"/>
      <c r="O751" s="2"/>
      <c r="P751" s="1"/>
      <c r="Q751" s="1"/>
      <c r="R751" s="1"/>
      <c r="S751" s="1"/>
      <c r="T751" s="1"/>
      <c r="U751" s="1"/>
      <c r="V751" s="1"/>
      <c r="W751" s="1"/>
      <c r="X751" s="1"/>
      <c r="Y751" s="1"/>
      <c r="Z751" s="1"/>
    </row>
    <row r="752">
      <c r="A752" s="1"/>
      <c r="B752" s="1"/>
      <c r="C752" s="1"/>
      <c r="D752" s="1"/>
      <c r="E752" s="1"/>
      <c r="F752" s="1"/>
      <c r="G752" s="1"/>
      <c r="H752" s="1"/>
      <c r="I752" s="1"/>
      <c r="J752" s="1"/>
      <c r="K752" s="2"/>
      <c r="L752" s="2"/>
      <c r="M752" s="2"/>
      <c r="N752" s="3"/>
      <c r="O752" s="2"/>
      <c r="P752" s="1"/>
      <c r="Q752" s="1"/>
      <c r="R752" s="1"/>
      <c r="S752" s="1"/>
      <c r="T752" s="1"/>
      <c r="U752" s="1"/>
      <c r="V752" s="1"/>
      <c r="W752" s="1"/>
      <c r="X752" s="1"/>
      <c r="Y752" s="1"/>
      <c r="Z752" s="1"/>
    </row>
    <row r="753">
      <c r="A753" s="1"/>
      <c r="B753" s="1"/>
      <c r="C753" s="1"/>
      <c r="D753" s="1"/>
      <c r="E753" s="1"/>
      <c r="F753" s="1"/>
      <c r="G753" s="1"/>
      <c r="H753" s="1"/>
      <c r="I753" s="1"/>
      <c r="J753" s="1"/>
      <c r="K753" s="2"/>
      <c r="L753" s="2"/>
      <c r="M753" s="2"/>
      <c r="N753" s="3"/>
      <c r="O753" s="2"/>
      <c r="P753" s="1"/>
      <c r="Q753" s="1"/>
      <c r="R753" s="1"/>
      <c r="S753" s="1"/>
      <c r="T753" s="1"/>
      <c r="U753" s="1"/>
      <c r="V753" s="1"/>
      <c r="W753" s="1"/>
      <c r="X753" s="1"/>
      <c r="Y753" s="1"/>
      <c r="Z753" s="1"/>
    </row>
    <row r="754">
      <c r="A754" s="1"/>
      <c r="B754" s="1"/>
      <c r="C754" s="1"/>
      <c r="D754" s="1"/>
      <c r="E754" s="1"/>
      <c r="F754" s="1"/>
      <c r="G754" s="1"/>
      <c r="H754" s="1"/>
      <c r="I754" s="1"/>
      <c r="J754" s="1"/>
      <c r="K754" s="2"/>
      <c r="L754" s="2"/>
      <c r="M754" s="2"/>
      <c r="N754" s="3"/>
      <c r="O754" s="2"/>
      <c r="P754" s="1"/>
      <c r="Q754" s="1"/>
      <c r="R754" s="1"/>
      <c r="S754" s="1"/>
      <c r="T754" s="1"/>
      <c r="U754" s="1"/>
      <c r="V754" s="1"/>
      <c r="W754" s="1"/>
      <c r="X754" s="1"/>
      <c r="Y754" s="1"/>
      <c r="Z754" s="1"/>
    </row>
    <row r="755">
      <c r="A755" s="1"/>
      <c r="B755" s="1"/>
      <c r="C755" s="1"/>
      <c r="D755" s="1"/>
      <c r="E755" s="1"/>
      <c r="F755" s="1"/>
      <c r="G755" s="1"/>
      <c r="H755" s="1"/>
      <c r="I755" s="1"/>
      <c r="J755" s="1"/>
      <c r="K755" s="2"/>
      <c r="L755" s="2"/>
      <c r="M755" s="2"/>
      <c r="N755" s="3"/>
      <c r="O755" s="2"/>
      <c r="P755" s="1"/>
      <c r="Q755" s="1"/>
      <c r="R755" s="1"/>
      <c r="S755" s="1"/>
      <c r="T755" s="1"/>
      <c r="U755" s="1"/>
      <c r="V755" s="1"/>
      <c r="W755" s="1"/>
      <c r="X755" s="1"/>
      <c r="Y755" s="1"/>
      <c r="Z755" s="1"/>
    </row>
    <row r="756">
      <c r="A756" s="1"/>
      <c r="B756" s="1"/>
      <c r="C756" s="1"/>
      <c r="D756" s="1"/>
      <c r="E756" s="1"/>
      <c r="F756" s="1"/>
      <c r="G756" s="1"/>
      <c r="H756" s="1"/>
      <c r="I756" s="1"/>
      <c r="J756" s="1"/>
      <c r="K756" s="2"/>
      <c r="L756" s="2"/>
      <c r="M756" s="2"/>
      <c r="N756" s="3"/>
      <c r="O756" s="2"/>
      <c r="P756" s="1"/>
      <c r="Q756" s="1"/>
      <c r="R756" s="1"/>
      <c r="S756" s="1"/>
      <c r="T756" s="1"/>
      <c r="U756" s="1"/>
      <c r="V756" s="1"/>
      <c r="W756" s="1"/>
      <c r="X756" s="1"/>
      <c r="Y756" s="1"/>
      <c r="Z756" s="1"/>
    </row>
    <row r="757">
      <c r="A757" s="1"/>
      <c r="B757" s="1"/>
      <c r="C757" s="1"/>
      <c r="D757" s="1"/>
      <c r="E757" s="1"/>
      <c r="F757" s="1"/>
      <c r="G757" s="1"/>
      <c r="H757" s="1"/>
      <c r="I757" s="1"/>
      <c r="J757" s="1"/>
      <c r="K757" s="2"/>
      <c r="L757" s="2"/>
      <c r="M757" s="2"/>
      <c r="N757" s="3"/>
      <c r="O757" s="2"/>
      <c r="P757" s="1"/>
      <c r="Q757" s="1"/>
      <c r="R757" s="1"/>
      <c r="S757" s="1"/>
      <c r="T757" s="1"/>
      <c r="U757" s="1"/>
      <c r="V757" s="1"/>
      <c r="W757" s="1"/>
      <c r="X757" s="1"/>
      <c r="Y757" s="1"/>
      <c r="Z757" s="1"/>
    </row>
    <row r="758">
      <c r="A758" s="1"/>
      <c r="B758" s="1"/>
      <c r="C758" s="1"/>
      <c r="D758" s="1"/>
      <c r="E758" s="1"/>
      <c r="F758" s="1"/>
      <c r="G758" s="1"/>
      <c r="H758" s="1"/>
      <c r="I758" s="1"/>
      <c r="J758" s="1"/>
      <c r="K758" s="2"/>
      <c r="L758" s="2"/>
      <c r="M758" s="2"/>
      <c r="N758" s="3"/>
      <c r="O758" s="2"/>
      <c r="P758" s="1"/>
      <c r="Q758" s="1"/>
      <c r="R758" s="1"/>
      <c r="S758" s="1"/>
      <c r="T758" s="1"/>
      <c r="U758" s="1"/>
      <c r="V758" s="1"/>
      <c r="W758" s="1"/>
      <c r="X758" s="1"/>
      <c r="Y758" s="1"/>
      <c r="Z758" s="1"/>
    </row>
    <row r="759">
      <c r="A759" s="1"/>
      <c r="B759" s="1"/>
      <c r="C759" s="1"/>
      <c r="D759" s="1"/>
      <c r="E759" s="1"/>
      <c r="F759" s="1"/>
      <c r="G759" s="1"/>
      <c r="H759" s="1"/>
      <c r="I759" s="1"/>
      <c r="J759" s="1"/>
      <c r="K759" s="2"/>
      <c r="L759" s="2"/>
      <c r="M759" s="2"/>
      <c r="N759" s="3"/>
      <c r="O759" s="2"/>
      <c r="P759" s="1"/>
      <c r="Q759" s="1"/>
      <c r="R759" s="1"/>
      <c r="S759" s="1"/>
      <c r="T759" s="1"/>
      <c r="U759" s="1"/>
      <c r="V759" s="1"/>
      <c r="W759" s="1"/>
      <c r="X759" s="1"/>
      <c r="Y759" s="1"/>
      <c r="Z759" s="1"/>
    </row>
    <row r="760">
      <c r="A760" s="1"/>
      <c r="B760" s="1"/>
      <c r="C760" s="1"/>
      <c r="D760" s="1"/>
      <c r="E760" s="1"/>
      <c r="F760" s="1"/>
      <c r="G760" s="1"/>
      <c r="H760" s="1"/>
      <c r="I760" s="1"/>
      <c r="J760" s="1"/>
      <c r="K760" s="2"/>
      <c r="L760" s="2"/>
      <c r="M760" s="2"/>
      <c r="N760" s="3"/>
      <c r="O760" s="2"/>
      <c r="P760" s="1"/>
      <c r="Q760" s="1"/>
      <c r="R760" s="1"/>
      <c r="S760" s="1"/>
      <c r="T760" s="1"/>
      <c r="U760" s="1"/>
      <c r="V760" s="1"/>
      <c r="W760" s="1"/>
      <c r="X760" s="1"/>
      <c r="Y760" s="1"/>
      <c r="Z760" s="1"/>
    </row>
    <row r="761">
      <c r="A761" s="1"/>
      <c r="B761" s="1"/>
      <c r="C761" s="1"/>
      <c r="D761" s="1"/>
      <c r="E761" s="1"/>
      <c r="F761" s="1"/>
      <c r="G761" s="1"/>
      <c r="H761" s="1"/>
      <c r="I761" s="1"/>
      <c r="J761" s="1"/>
      <c r="K761" s="2"/>
      <c r="L761" s="2"/>
      <c r="M761" s="2"/>
      <c r="N761" s="3"/>
      <c r="O761" s="2"/>
      <c r="P761" s="1"/>
      <c r="Q761" s="1"/>
      <c r="R761" s="1"/>
      <c r="S761" s="1"/>
      <c r="T761" s="1"/>
      <c r="U761" s="1"/>
      <c r="V761" s="1"/>
      <c r="W761" s="1"/>
      <c r="X761" s="1"/>
      <c r="Y761" s="1"/>
      <c r="Z761" s="1"/>
    </row>
    <row r="762">
      <c r="A762" s="1"/>
      <c r="B762" s="1"/>
      <c r="C762" s="1"/>
      <c r="D762" s="1"/>
      <c r="E762" s="1"/>
      <c r="F762" s="1"/>
      <c r="G762" s="1"/>
      <c r="H762" s="1"/>
      <c r="I762" s="1"/>
      <c r="J762" s="1"/>
      <c r="K762" s="2"/>
      <c r="L762" s="2"/>
      <c r="M762" s="2"/>
      <c r="N762" s="3"/>
      <c r="O762" s="2"/>
      <c r="P762" s="1"/>
      <c r="Q762" s="1"/>
      <c r="R762" s="1"/>
      <c r="S762" s="1"/>
      <c r="T762" s="1"/>
      <c r="U762" s="1"/>
      <c r="V762" s="1"/>
      <c r="W762" s="1"/>
      <c r="X762" s="1"/>
      <c r="Y762" s="1"/>
      <c r="Z762" s="1"/>
    </row>
    <row r="763">
      <c r="A763" s="1"/>
      <c r="B763" s="1"/>
      <c r="C763" s="1"/>
      <c r="D763" s="1"/>
      <c r="E763" s="1"/>
      <c r="F763" s="1"/>
      <c r="G763" s="1"/>
      <c r="H763" s="1"/>
      <c r="I763" s="1"/>
      <c r="J763" s="1"/>
      <c r="K763" s="2"/>
      <c r="L763" s="2"/>
      <c r="M763" s="2"/>
      <c r="N763" s="3"/>
      <c r="O763" s="2"/>
      <c r="P763" s="1"/>
      <c r="Q763" s="1"/>
      <c r="R763" s="1"/>
      <c r="S763" s="1"/>
      <c r="T763" s="1"/>
      <c r="U763" s="1"/>
      <c r="V763" s="1"/>
      <c r="W763" s="1"/>
      <c r="X763" s="1"/>
      <c r="Y763" s="1"/>
      <c r="Z763" s="1"/>
    </row>
    <row r="764">
      <c r="A764" s="1"/>
      <c r="B764" s="1"/>
      <c r="C764" s="1"/>
      <c r="D764" s="1"/>
      <c r="E764" s="1"/>
      <c r="F764" s="1"/>
      <c r="G764" s="1"/>
      <c r="H764" s="1"/>
      <c r="I764" s="1"/>
      <c r="J764" s="1"/>
      <c r="K764" s="2"/>
      <c r="L764" s="2"/>
      <c r="M764" s="2"/>
      <c r="N764" s="3"/>
      <c r="O764" s="2"/>
      <c r="P764" s="1"/>
      <c r="Q764" s="1"/>
      <c r="R764" s="1"/>
      <c r="S764" s="1"/>
      <c r="T764" s="1"/>
      <c r="U764" s="1"/>
      <c r="V764" s="1"/>
      <c r="W764" s="1"/>
      <c r="X764" s="1"/>
      <c r="Y764" s="1"/>
      <c r="Z764" s="1"/>
    </row>
    <row r="765">
      <c r="A765" s="1"/>
      <c r="B765" s="1"/>
      <c r="C765" s="1"/>
      <c r="D765" s="1"/>
      <c r="E765" s="1"/>
      <c r="F765" s="1"/>
      <c r="G765" s="1"/>
      <c r="H765" s="1"/>
      <c r="I765" s="1"/>
      <c r="J765" s="1"/>
      <c r="K765" s="2"/>
      <c r="L765" s="2"/>
      <c r="M765" s="2"/>
      <c r="N765" s="3"/>
      <c r="O765" s="2"/>
      <c r="P765" s="1"/>
      <c r="Q765" s="1"/>
      <c r="R765" s="1"/>
      <c r="S765" s="1"/>
      <c r="T765" s="1"/>
      <c r="U765" s="1"/>
      <c r="V765" s="1"/>
      <c r="W765" s="1"/>
      <c r="X765" s="1"/>
      <c r="Y765" s="1"/>
      <c r="Z765" s="1"/>
    </row>
    <row r="766">
      <c r="A766" s="1"/>
      <c r="B766" s="1"/>
      <c r="C766" s="1"/>
      <c r="D766" s="1"/>
      <c r="E766" s="1"/>
      <c r="F766" s="1"/>
      <c r="G766" s="1"/>
      <c r="H766" s="1"/>
      <c r="I766" s="1"/>
      <c r="J766" s="1"/>
      <c r="K766" s="2"/>
      <c r="L766" s="2"/>
      <c r="M766" s="2"/>
      <c r="N766" s="3"/>
      <c r="O766" s="2"/>
      <c r="P766" s="1"/>
      <c r="Q766" s="1"/>
      <c r="R766" s="1"/>
      <c r="S766" s="1"/>
      <c r="T766" s="1"/>
      <c r="U766" s="1"/>
      <c r="V766" s="1"/>
      <c r="W766" s="1"/>
      <c r="X766" s="1"/>
      <c r="Y766" s="1"/>
      <c r="Z766" s="1"/>
    </row>
    <row r="767">
      <c r="A767" s="1"/>
      <c r="B767" s="1"/>
      <c r="C767" s="1"/>
      <c r="D767" s="1"/>
      <c r="E767" s="1"/>
      <c r="F767" s="1"/>
      <c r="G767" s="1"/>
      <c r="H767" s="1"/>
      <c r="I767" s="1"/>
      <c r="J767" s="1"/>
      <c r="K767" s="2"/>
      <c r="L767" s="2"/>
      <c r="M767" s="2"/>
      <c r="N767" s="3"/>
      <c r="O767" s="2"/>
      <c r="P767" s="1"/>
      <c r="Q767" s="1"/>
      <c r="R767" s="1"/>
      <c r="S767" s="1"/>
      <c r="T767" s="1"/>
      <c r="U767" s="1"/>
      <c r="V767" s="1"/>
      <c r="W767" s="1"/>
      <c r="X767" s="1"/>
      <c r="Y767" s="1"/>
      <c r="Z767" s="1"/>
    </row>
    <row r="768">
      <c r="A768" s="1"/>
      <c r="B768" s="1"/>
      <c r="C768" s="1"/>
      <c r="D768" s="1"/>
      <c r="E768" s="1"/>
      <c r="F768" s="1"/>
      <c r="G768" s="1"/>
      <c r="H768" s="1"/>
      <c r="I768" s="1"/>
      <c r="J768" s="1"/>
      <c r="K768" s="2"/>
      <c r="L768" s="2"/>
      <c r="M768" s="2"/>
      <c r="N768" s="3"/>
      <c r="O768" s="2"/>
      <c r="P768" s="1"/>
      <c r="Q768" s="1"/>
      <c r="R768" s="1"/>
      <c r="S768" s="1"/>
      <c r="T768" s="1"/>
      <c r="U768" s="1"/>
      <c r="V768" s="1"/>
      <c r="W768" s="1"/>
      <c r="X768" s="1"/>
      <c r="Y768" s="1"/>
      <c r="Z768" s="1"/>
    </row>
    <row r="769">
      <c r="A769" s="1"/>
      <c r="B769" s="1"/>
      <c r="C769" s="1"/>
      <c r="D769" s="1"/>
      <c r="E769" s="1"/>
      <c r="F769" s="1"/>
      <c r="G769" s="1"/>
      <c r="H769" s="1"/>
      <c r="I769" s="1"/>
      <c r="J769" s="1"/>
      <c r="K769" s="2"/>
      <c r="L769" s="2"/>
      <c r="M769" s="2"/>
      <c r="N769" s="3"/>
      <c r="O769" s="2"/>
      <c r="P769" s="1"/>
      <c r="Q769" s="1"/>
      <c r="R769" s="1"/>
      <c r="S769" s="1"/>
      <c r="T769" s="1"/>
      <c r="U769" s="1"/>
      <c r="V769" s="1"/>
      <c r="W769" s="1"/>
      <c r="X769" s="1"/>
      <c r="Y769" s="1"/>
      <c r="Z769" s="1"/>
    </row>
    <row r="770">
      <c r="A770" s="1"/>
      <c r="B770" s="1"/>
      <c r="C770" s="1"/>
      <c r="D770" s="1"/>
      <c r="E770" s="1"/>
      <c r="F770" s="1"/>
      <c r="G770" s="1"/>
      <c r="H770" s="1"/>
      <c r="I770" s="1"/>
      <c r="J770" s="1"/>
      <c r="K770" s="2"/>
      <c r="L770" s="2"/>
      <c r="M770" s="2"/>
      <c r="N770" s="3"/>
      <c r="O770" s="2"/>
      <c r="P770" s="1"/>
      <c r="Q770" s="1"/>
      <c r="R770" s="1"/>
      <c r="S770" s="1"/>
      <c r="T770" s="1"/>
      <c r="U770" s="1"/>
      <c r="V770" s="1"/>
      <c r="W770" s="1"/>
      <c r="X770" s="1"/>
      <c r="Y770" s="1"/>
      <c r="Z770" s="1"/>
    </row>
    <row r="771">
      <c r="A771" s="1"/>
      <c r="B771" s="1"/>
      <c r="C771" s="1"/>
      <c r="D771" s="1"/>
      <c r="E771" s="1"/>
      <c r="F771" s="1"/>
      <c r="G771" s="1"/>
      <c r="H771" s="1"/>
      <c r="I771" s="1"/>
      <c r="J771" s="1"/>
      <c r="K771" s="2"/>
      <c r="L771" s="2"/>
      <c r="M771" s="2"/>
      <c r="N771" s="3"/>
      <c r="O771" s="2"/>
      <c r="P771" s="1"/>
      <c r="Q771" s="1"/>
      <c r="R771" s="1"/>
      <c r="S771" s="1"/>
      <c r="T771" s="1"/>
      <c r="U771" s="1"/>
      <c r="V771" s="1"/>
      <c r="W771" s="1"/>
      <c r="X771" s="1"/>
      <c r="Y771" s="1"/>
      <c r="Z771" s="1"/>
    </row>
    <row r="772">
      <c r="A772" s="1"/>
      <c r="B772" s="1"/>
      <c r="C772" s="1"/>
      <c r="D772" s="1"/>
      <c r="E772" s="1"/>
      <c r="F772" s="1"/>
      <c r="G772" s="1"/>
      <c r="H772" s="1"/>
      <c r="I772" s="1"/>
      <c r="J772" s="1"/>
      <c r="K772" s="2"/>
      <c r="L772" s="2"/>
      <c r="M772" s="2"/>
      <c r="N772" s="3"/>
      <c r="O772" s="2"/>
      <c r="P772" s="1"/>
      <c r="Q772" s="1"/>
      <c r="R772" s="1"/>
      <c r="S772" s="1"/>
      <c r="T772" s="1"/>
      <c r="U772" s="1"/>
      <c r="V772" s="1"/>
      <c r="W772" s="1"/>
      <c r="X772" s="1"/>
      <c r="Y772" s="1"/>
      <c r="Z772" s="1"/>
    </row>
    <row r="773">
      <c r="A773" s="1"/>
      <c r="B773" s="1"/>
      <c r="C773" s="1"/>
      <c r="D773" s="1"/>
      <c r="E773" s="1"/>
      <c r="F773" s="1"/>
      <c r="G773" s="1"/>
      <c r="H773" s="1"/>
      <c r="I773" s="1"/>
      <c r="J773" s="1"/>
      <c r="K773" s="2"/>
      <c r="L773" s="2"/>
      <c r="M773" s="2"/>
      <c r="N773" s="3"/>
      <c r="O773" s="2"/>
      <c r="P773" s="1"/>
      <c r="Q773" s="1"/>
      <c r="R773" s="1"/>
      <c r="S773" s="1"/>
      <c r="T773" s="1"/>
      <c r="U773" s="1"/>
      <c r="V773" s="1"/>
      <c r="W773" s="1"/>
      <c r="X773" s="1"/>
      <c r="Y773" s="1"/>
      <c r="Z773" s="1"/>
    </row>
    <row r="774">
      <c r="A774" s="1"/>
      <c r="B774" s="1"/>
      <c r="C774" s="1"/>
      <c r="D774" s="1"/>
      <c r="E774" s="1"/>
      <c r="F774" s="1"/>
      <c r="G774" s="1"/>
      <c r="H774" s="1"/>
      <c r="I774" s="1"/>
      <c r="J774" s="1"/>
      <c r="K774" s="2"/>
      <c r="L774" s="2"/>
      <c r="M774" s="2"/>
      <c r="N774" s="3"/>
      <c r="O774" s="2"/>
      <c r="P774" s="1"/>
      <c r="Q774" s="1"/>
      <c r="R774" s="1"/>
      <c r="S774" s="1"/>
      <c r="T774" s="1"/>
      <c r="U774" s="1"/>
      <c r="V774" s="1"/>
      <c r="W774" s="1"/>
      <c r="X774" s="1"/>
      <c r="Y774" s="1"/>
      <c r="Z774" s="1"/>
    </row>
    <row r="775">
      <c r="A775" s="1"/>
      <c r="B775" s="1"/>
      <c r="C775" s="1"/>
      <c r="D775" s="1"/>
      <c r="E775" s="1"/>
      <c r="F775" s="1"/>
      <c r="G775" s="1"/>
      <c r="H775" s="1"/>
      <c r="I775" s="1"/>
      <c r="J775" s="1"/>
      <c r="K775" s="2"/>
      <c r="L775" s="2"/>
      <c r="M775" s="2"/>
      <c r="N775" s="3"/>
      <c r="O775" s="2"/>
      <c r="P775" s="1"/>
      <c r="Q775" s="1"/>
      <c r="R775" s="1"/>
      <c r="S775" s="1"/>
      <c r="T775" s="1"/>
      <c r="U775" s="1"/>
      <c r="V775" s="1"/>
      <c r="W775" s="1"/>
      <c r="X775" s="1"/>
      <c r="Y775" s="1"/>
      <c r="Z775" s="1"/>
    </row>
    <row r="776">
      <c r="A776" s="1"/>
      <c r="B776" s="1"/>
      <c r="C776" s="1"/>
      <c r="D776" s="1"/>
      <c r="E776" s="1"/>
      <c r="F776" s="1"/>
      <c r="G776" s="1"/>
      <c r="H776" s="1"/>
      <c r="I776" s="1"/>
      <c r="J776" s="1"/>
      <c r="K776" s="2"/>
      <c r="L776" s="2"/>
      <c r="M776" s="2"/>
      <c r="N776" s="3"/>
      <c r="O776" s="2"/>
      <c r="P776" s="1"/>
      <c r="Q776" s="1"/>
      <c r="R776" s="1"/>
      <c r="S776" s="1"/>
      <c r="T776" s="1"/>
      <c r="U776" s="1"/>
      <c r="V776" s="1"/>
      <c r="W776" s="1"/>
      <c r="X776" s="1"/>
      <c r="Y776" s="1"/>
      <c r="Z776" s="1"/>
    </row>
    <row r="777">
      <c r="A777" s="1"/>
      <c r="B777" s="1"/>
      <c r="C777" s="1"/>
      <c r="D777" s="1"/>
      <c r="E777" s="1"/>
      <c r="F777" s="1"/>
      <c r="G777" s="1"/>
      <c r="H777" s="1"/>
      <c r="I777" s="1"/>
      <c r="J777" s="1"/>
      <c r="K777" s="2"/>
      <c r="L777" s="2"/>
      <c r="M777" s="2"/>
      <c r="N777" s="3"/>
      <c r="O777" s="2"/>
      <c r="P777" s="1"/>
      <c r="Q777" s="1"/>
      <c r="R777" s="1"/>
      <c r="S777" s="1"/>
      <c r="T777" s="1"/>
      <c r="U777" s="1"/>
      <c r="V777" s="1"/>
      <c r="W777" s="1"/>
      <c r="X777" s="1"/>
      <c r="Y777" s="1"/>
      <c r="Z777" s="1"/>
    </row>
    <row r="778">
      <c r="A778" s="1"/>
      <c r="B778" s="1"/>
      <c r="C778" s="1"/>
      <c r="D778" s="1"/>
      <c r="E778" s="1"/>
      <c r="F778" s="1"/>
      <c r="G778" s="1"/>
      <c r="H778" s="1"/>
      <c r="I778" s="1"/>
      <c r="J778" s="1"/>
      <c r="K778" s="2"/>
      <c r="L778" s="2"/>
      <c r="M778" s="2"/>
      <c r="N778" s="3"/>
      <c r="O778" s="2"/>
      <c r="P778" s="1"/>
      <c r="Q778" s="1"/>
      <c r="R778" s="1"/>
      <c r="S778" s="1"/>
      <c r="T778" s="1"/>
      <c r="U778" s="1"/>
      <c r="V778" s="1"/>
      <c r="W778" s="1"/>
      <c r="X778" s="1"/>
      <c r="Y778" s="1"/>
      <c r="Z778" s="1"/>
    </row>
    <row r="779">
      <c r="A779" s="1"/>
      <c r="B779" s="1"/>
      <c r="C779" s="1"/>
      <c r="D779" s="1"/>
      <c r="E779" s="1"/>
      <c r="F779" s="1"/>
      <c r="G779" s="1"/>
      <c r="H779" s="1"/>
      <c r="I779" s="1"/>
      <c r="J779" s="1"/>
      <c r="K779" s="2"/>
      <c r="L779" s="2"/>
      <c r="M779" s="2"/>
      <c r="N779" s="3"/>
      <c r="O779" s="2"/>
      <c r="P779" s="1"/>
      <c r="Q779" s="1"/>
      <c r="R779" s="1"/>
      <c r="S779" s="1"/>
      <c r="T779" s="1"/>
      <c r="U779" s="1"/>
      <c r="V779" s="1"/>
      <c r="W779" s="1"/>
      <c r="X779" s="1"/>
      <c r="Y779" s="1"/>
      <c r="Z779" s="1"/>
    </row>
    <row r="780">
      <c r="A780" s="1"/>
      <c r="B780" s="1"/>
      <c r="C780" s="1"/>
      <c r="D780" s="1"/>
      <c r="E780" s="1"/>
      <c r="F780" s="1"/>
      <c r="G780" s="1"/>
      <c r="H780" s="1"/>
      <c r="I780" s="1"/>
      <c r="J780" s="1"/>
      <c r="K780" s="2"/>
      <c r="L780" s="2"/>
      <c r="M780" s="2"/>
      <c r="N780" s="3"/>
      <c r="O780" s="2"/>
      <c r="P780" s="1"/>
      <c r="Q780" s="1"/>
      <c r="R780" s="1"/>
      <c r="S780" s="1"/>
      <c r="T780" s="1"/>
      <c r="U780" s="1"/>
      <c r="V780" s="1"/>
      <c r="W780" s="1"/>
      <c r="X780" s="1"/>
      <c r="Y780" s="1"/>
      <c r="Z780" s="1"/>
    </row>
    <row r="781">
      <c r="A781" s="1"/>
      <c r="B781" s="1"/>
      <c r="C781" s="1"/>
      <c r="D781" s="1"/>
      <c r="E781" s="1"/>
      <c r="F781" s="1"/>
      <c r="G781" s="1"/>
      <c r="H781" s="1"/>
      <c r="I781" s="1"/>
      <c r="J781" s="1"/>
      <c r="K781" s="2"/>
      <c r="L781" s="2"/>
      <c r="M781" s="2"/>
      <c r="N781" s="3"/>
      <c r="O781" s="2"/>
      <c r="P781" s="1"/>
      <c r="Q781" s="1"/>
      <c r="R781" s="1"/>
      <c r="S781" s="1"/>
      <c r="T781" s="1"/>
      <c r="U781" s="1"/>
      <c r="V781" s="1"/>
      <c r="W781" s="1"/>
      <c r="X781" s="1"/>
      <c r="Y781" s="1"/>
      <c r="Z781" s="1"/>
    </row>
    <row r="782">
      <c r="A782" s="1"/>
      <c r="B782" s="1"/>
      <c r="C782" s="1"/>
      <c r="D782" s="1"/>
      <c r="E782" s="1"/>
      <c r="F782" s="1"/>
      <c r="G782" s="1"/>
      <c r="H782" s="1"/>
      <c r="I782" s="1"/>
      <c r="J782" s="1"/>
      <c r="K782" s="2"/>
      <c r="L782" s="2"/>
      <c r="M782" s="2"/>
      <c r="N782" s="3"/>
      <c r="O782" s="2"/>
      <c r="P782" s="1"/>
      <c r="Q782" s="1"/>
      <c r="R782" s="1"/>
      <c r="S782" s="1"/>
      <c r="T782" s="1"/>
      <c r="U782" s="1"/>
      <c r="V782" s="1"/>
      <c r="W782" s="1"/>
      <c r="X782" s="1"/>
      <c r="Y782" s="1"/>
      <c r="Z782" s="1"/>
    </row>
    <row r="783">
      <c r="A783" s="1"/>
      <c r="B783" s="1"/>
      <c r="C783" s="1"/>
      <c r="D783" s="1"/>
      <c r="E783" s="1"/>
      <c r="F783" s="1"/>
      <c r="G783" s="1"/>
      <c r="H783" s="1"/>
      <c r="I783" s="1"/>
      <c r="J783" s="1"/>
      <c r="K783" s="2"/>
      <c r="L783" s="2"/>
      <c r="M783" s="2"/>
      <c r="N783" s="3"/>
      <c r="O783" s="2"/>
      <c r="P783" s="1"/>
      <c r="Q783" s="1"/>
      <c r="R783" s="1"/>
      <c r="S783" s="1"/>
      <c r="T783" s="1"/>
      <c r="U783" s="1"/>
      <c r="V783" s="1"/>
      <c r="W783" s="1"/>
      <c r="X783" s="1"/>
      <c r="Y783" s="1"/>
      <c r="Z783" s="1"/>
    </row>
    <row r="784">
      <c r="A784" s="1"/>
      <c r="B784" s="1"/>
      <c r="C784" s="1"/>
      <c r="D784" s="1"/>
      <c r="E784" s="1"/>
      <c r="F784" s="1"/>
      <c r="G784" s="1"/>
      <c r="H784" s="1"/>
      <c r="I784" s="1"/>
      <c r="J784" s="1"/>
      <c r="K784" s="2"/>
      <c r="L784" s="2"/>
      <c r="M784" s="2"/>
      <c r="N784" s="3"/>
      <c r="O784" s="2"/>
      <c r="P784" s="1"/>
      <c r="Q784" s="1"/>
      <c r="R784" s="1"/>
      <c r="S784" s="1"/>
      <c r="T784" s="1"/>
      <c r="U784" s="1"/>
      <c r="V784" s="1"/>
      <c r="W784" s="1"/>
      <c r="X784" s="1"/>
      <c r="Y784" s="1"/>
      <c r="Z784" s="1"/>
    </row>
    <row r="785">
      <c r="A785" s="1"/>
      <c r="B785" s="1"/>
      <c r="C785" s="1"/>
      <c r="D785" s="1"/>
      <c r="E785" s="1"/>
      <c r="F785" s="1"/>
      <c r="G785" s="1"/>
      <c r="H785" s="1"/>
      <c r="I785" s="1"/>
      <c r="J785" s="1"/>
      <c r="K785" s="2"/>
      <c r="L785" s="2"/>
      <c r="M785" s="2"/>
      <c r="N785" s="3"/>
      <c r="O785" s="2"/>
      <c r="P785" s="1"/>
      <c r="Q785" s="1"/>
      <c r="R785" s="1"/>
      <c r="S785" s="1"/>
      <c r="T785" s="1"/>
      <c r="U785" s="1"/>
      <c r="V785" s="1"/>
      <c r="W785" s="1"/>
      <c r="X785" s="1"/>
      <c r="Y785" s="1"/>
      <c r="Z785" s="1"/>
    </row>
    <row r="786">
      <c r="A786" s="1"/>
      <c r="B786" s="1"/>
      <c r="C786" s="1"/>
      <c r="D786" s="1"/>
      <c r="E786" s="1"/>
      <c r="F786" s="1"/>
      <c r="G786" s="1"/>
      <c r="H786" s="1"/>
      <c r="I786" s="1"/>
      <c r="J786" s="1"/>
      <c r="K786" s="2"/>
      <c r="L786" s="2"/>
      <c r="M786" s="2"/>
      <c r="N786" s="3"/>
      <c r="O786" s="2"/>
      <c r="P786" s="1"/>
      <c r="Q786" s="1"/>
      <c r="R786" s="1"/>
      <c r="S786" s="1"/>
      <c r="T786" s="1"/>
      <c r="U786" s="1"/>
      <c r="V786" s="1"/>
      <c r="W786" s="1"/>
      <c r="X786" s="1"/>
      <c r="Y786" s="1"/>
      <c r="Z786" s="1"/>
    </row>
    <row r="787">
      <c r="A787" s="1"/>
      <c r="B787" s="1"/>
      <c r="C787" s="1"/>
      <c r="D787" s="1"/>
      <c r="E787" s="1"/>
      <c r="F787" s="1"/>
      <c r="G787" s="1"/>
      <c r="H787" s="1"/>
      <c r="I787" s="1"/>
      <c r="J787" s="1"/>
      <c r="K787" s="2"/>
      <c r="L787" s="2"/>
      <c r="M787" s="2"/>
      <c r="N787" s="3"/>
      <c r="O787" s="2"/>
      <c r="P787" s="1"/>
      <c r="Q787" s="1"/>
      <c r="R787" s="1"/>
      <c r="S787" s="1"/>
      <c r="T787" s="1"/>
      <c r="U787" s="1"/>
      <c r="V787" s="1"/>
      <c r="W787" s="1"/>
      <c r="X787" s="1"/>
      <c r="Y787" s="1"/>
      <c r="Z787" s="1"/>
    </row>
    <row r="788">
      <c r="A788" s="1"/>
      <c r="B788" s="1"/>
      <c r="C788" s="1"/>
      <c r="D788" s="1"/>
      <c r="E788" s="1"/>
      <c r="F788" s="1"/>
      <c r="G788" s="1"/>
      <c r="H788" s="1"/>
      <c r="I788" s="1"/>
      <c r="J788" s="1"/>
      <c r="K788" s="2"/>
      <c r="L788" s="2"/>
      <c r="M788" s="2"/>
      <c r="N788" s="3"/>
      <c r="O788" s="2"/>
      <c r="P788" s="1"/>
      <c r="Q788" s="1"/>
      <c r="R788" s="1"/>
      <c r="S788" s="1"/>
      <c r="T788" s="1"/>
      <c r="U788" s="1"/>
      <c r="V788" s="1"/>
      <c r="W788" s="1"/>
      <c r="X788" s="1"/>
      <c r="Y788" s="1"/>
      <c r="Z788" s="1"/>
    </row>
    <row r="789">
      <c r="A789" s="1"/>
      <c r="B789" s="1"/>
      <c r="C789" s="1"/>
      <c r="D789" s="1"/>
      <c r="E789" s="1"/>
      <c r="F789" s="1"/>
      <c r="G789" s="1"/>
      <c r="H789" s="1"/>
      <c r="I789" s="1"/>
      <c r="J789" s="1"/>
      <c r="K789" s="2"/>
      <c r="L789" s="2"/>
      <c r="M789" s="2"/>
      <c r="N789" s="3"/>
      <c r="O789" s="2"/>
      <c r="P789" s="1"/>
      <c r="Q789" s="1"/>
      <c r="R789" s="1"/>
      <c r="S789" s="1"/>
      <c r="T789" s="1"/>
      <c r="U789" s="1"/>
      <c r="V789" s="1"/>
      <c r="W789" s="1"/>
      <c r="X789" s="1"/>
      <c r="Y789" s="1"/>
      <c r="Z789" s="1"/>
    </row>
    <row r="790">
      <c r="A790" s="1"/>
      <c r="B790" s="1"/>
      <c r="C790" s="1"/>
      <c r="D790" s="1"/>
      <c r="E790" s="1"/>
      <c r="F790" s="1"/>
      <c r="G790" s="1"/>
      <c r="H790" s="1"/>
      <c r="I790" s="1"/>
      <c r="J790" s="1"/>
      <c r="K790" s="2"/>
      <c r="L790" s="2"/>
      <c r="M790" s="2"/>
      <c r="N790" s="3"/>
      <c r="O790" s="2"/>
      <c r="P790" s="1"/>
      <c r="Q790" s="1"/>
      <c r="R790" s="1"/>
      <c r="S790" s="1"/>
      <c r="T790" s="1"/>
      <c r="U790" s="1"/>
      <c r="V790" s="1"/>
      <c r="W790" s="1"/>
      <c r="X790" s="1"/>
      <c r="Y790" s="1"/>
      <c r="Z790" s="1"/>
    </row>
    <row r="791">
      <c r="A791" s="1"/>
      <c r="B791" s="1"/>
      <c r="C791" s="1"/>
      <c r="D791" s="1"/>
      <c r="E791" s="1"/>
      <c r="F791" s="1"/>
      <c r="G791" s="1"/>
      <c r="H791" s="1"/>
      <c r="I791" s="1"/>
      <c r="J791" s="1"/>
      <c r="K791" s="2"/>
      <c r="L791" s="2"/>
      <c r="M791" s="2"/>
      <c r="N791" s="3"/>
      <c r="O791" s="2"/>
      <c r="P791" s="1"/>
      <c r="Q791" s="1"/>
      <c r="R791" s="1"/>
      <c r="S791" s="1"/>
      <c r="T791" s="1"/>
      <c r="U791" s="1"/>
      <c r="V791" s="1"/>
      <c r="W791" s="1"/>
      <c r="X791" s="1"/>
      <c r="Y791" s="1"/>
      <c r="Z791" s="1"/>
    </row>
    <row r="792">
      <c r="A792" s="1"/>
      <c r="B792" s="1"/>
      <c r="C792" s="1"/>
      <c r="D792" s="1"/>
      <c r="E792" s="1"/>
      <c r="F792" s="1"/>
      <c r="G792" s="1"/>
      <c r="H792" s="1"/>
      <c r="I792" s="1"/>
      <c r="J792" s="1"/>
      <c r="K792" s="2"/>
      <c r="L792" s="2"/>
      <c r="M792" s="2"/>
      <c r="N792" s="3"/>
      <c r="O792" s="2"/>
      <c r="P792" s="1"/>
      <c r="Q792" s="1"/>
      <c r="R792" s="1"/>
      <c r="S792" s="1"/>
      <c r="T792" s="1"/>
      <c r="U792" s="1"/>
      <c r="V792" s="1"/>
      <c r="W792" s="1"/>
      <c r="X792" s="1"/>
      <c r="Y792" s="1"/>
      <c r="Z792" s="1"/>
    </row>
    <row r="793">
      <c r="A793" s="1"/>
      <c r="B793" s="1"/>
      <c r="C793" s="1"/>
      <c r="D793" s="1"/>
      <c r="E793" s="1"/>
      <c r="F793" s="1"/>
      <c r="G793" s="1"/>
      <c r="H793" s="1"/>
      <c r="I793" s="1"/>
      <c r="J793" s="1"/>
      <c r="K793" s="2"/>
      <c r="L793" s="2"/>
      <c r="M793" s="2"/>
      <c r="N793" s="3"/>
      <c r="O793" s="2"/>
      <c r="P793" s="1"/>
      <c r="Q793" s="1"/>
      <c r="R793" s="1"/>
      <c r="S793" s="1"/>
      <c r="T793" s="1"/>
      <c r="U793" s="1"/>
      <c r="V793" s="1"/>
      <c r="W793" s="1"/>
      <c r="X793" s="1"/>
      <c r="Y793" s="1"/>
      <c r="Z793" s="1"/>
    </row>
    <row r="794">
      <c r="A794" s="1"/>
      <c r="B794" s="1"/>
      <c r="C794" s="1"/>
      <c r="D794" s="1"/>
      <c r="E794" s="1"/>
      <c r="F794" s="1"/>
      <c r="G794" s="1"/>
      <c r="H794" s="1"/>
      <c r="I794" s="1"/>
      <c r="J794" s="1"/>
      <c r="K794" s="2"/>
      <c r="L794" s="2"/>
      <c r="M794" s="2"/>
      <c r="N794" s="3"/>
      <c r="O794" s="2"/>
      <c r="P794" s="1"/>
      <c r="Q794" s="1"/>
      <c r="R794" s="1"/>
      <c r="S794" s="1"/>
      <c r="T794" s="1"/>
      <c r="U794" s="1"/>
      <c r="V794" s="1"/>
      <c r="W794" s="1"/>
      <c r="X794" s="1"/>
      <c r="Y794" s="1"/>
      <c r="Z794" s="1"/>
    </row>
    <row r="795">
      <c r="A795" s="1"/>
      <c r="B795" s="1"/>
      <c r="C795" s="1"/>
      <c r="D795" s="1"/>
      <c r="E795" s="1"/>
      <c r="F795" s="1"/>
      <c r="G795" s="1"/>
      <c r="H795" s="1"/>
      <c r="I795" s="1"/>
      <c r="J795" s="1"/>
      <c r="K795" s="2"/>
      <c r="L795" s="2"/>
      <c r="M795" s="2"/>
      <c r="N795" s="3"/>
      <c r="O795" s="2"/>
      <c r="P795" s="1"/>
      <c r="Q795" s="1"/>
      <c r="R795" s="1"/>
      <c r="S795" s="1"/>
      <c r="T795" s="1"/>
      <c r="U795" s="1"/>
      <c r="V795" s="1"/>
      <c r="W795" s="1"/>
      <c r="X795" s="1"/>
      <c r="Y795" s="1"/>
      <c r="Z795" s="1"/>
    </row>
    <row r="796">
      <c r="A796" s="1"/>
      <c r="B796" s="1"/>
      <c r="C796" s="1"/>
      <c r="D796" s="1"/>
      <c r="E796" s="1"/>
      <c r="F796" s="1"/>
      <c r="G796" s="1"/>
      <c r="H796" s="1"/>
      <c r="I796" s="1"/>
      <c r="J796" s="1"/>
      <c r="K796" s="2"/>
      <c r="L796" s="2"/>
      <c r="M796" s="2"/>
      <c r="N796" s="3"/>
      <c r="O796" s="2"/>
      <c r="P796" s="1"/>
      <c r="Q796" s="1"/>
      <c r="R796" s="1"/>
      <c r="S796" s="1"/>
      <c r="T796" s="1"/>
      <c r="U796" s="1"/>
      <c r="V796" s="1"/>
      <c r="W796" s="1"/>
      <c r="X796" s="1"/>
      <c r="Y796" s="1"/>
      <c r="Z796" s="1"/>
    </row>
    <row r="797">
      <c r="A797" s="1"/>
      <c r="B797" s="1"/>
      <c r="C797" s="1"/>
      <c r="D797" s="1"/>
      <c r="E797" s="1"/>
      <c r="F797" s="1"/>
      <c r="G797" s="1"/>
      <c r="H797" s="1"/>
      <c r="I797" s="1"/>
      <c r="J797" s="1"/>
      <c r="K797" s="2"/>
      <c r="L797" s="2"/>
      <c r="M797" s="2"/>
      <c r="N797" s="3"/>
      <c r="O797" s="2"/>
      <c r="P797" s="1"/>
      <c r="Q797" s="1"/>
      <c r="R797" s="1"/>
      <c r="S797" s="1"/>
      <c r="T797" s="1"/>
      <c r="U797" s="1"/>
      <c r="V797" s="1"/>
      <c r="W797" s="1"/>
      <c r="X797" s="1"/>
      <c r="Y797" s="1"/>
      <c r="Z797" s="1"/>
    </row>
    <row r="798">
      <c r="A798" s="1"/>
      <c r="B798" s="1"/>
      <c r="C798" s="1"/>
      <c r="D798" s="1"/>
      <c r="E798" s="1"/>
      <c r="F798" s="1"/>
      <c r="G798" s="1"/>
      <c r="H798" s="1"/>
      <c r="I798" s="1"/>
      <c r="J798" s="1"/>
      <c r="K798" s="2"/>
      <c r="L798" s="2"/>
      <c r="M798" s="2"/>
      <c r="N798" s="3"/>
      <c r="O798" s="2"/>
      <c r="P798" s="1"/>
      <c r="Q798" s="1"/>
      <c r="R798" s="1"/>
      <c r="S798" s="1"/>
      <c r="T798" s="1"/>
      <c r="U798" s="1"/>
      <c r="V798" s="1"/>
      <c r="W798" s="1"/>
      <c r="X798" s="1"/>
      <c r="Y798" s="1"/>
      <c r="Z798" s="1"/>
    </row>
    <row r="799">
      <c r="A799" s="1"/>
      <c r="B799" s="1"/>
      <c r="C799" s="1"/>
      <c r="D799" s="1"/>
      <c r="E799" s="1"/>
      <c r="F799" s="1"/>
      <c r="G799" s="1"/>
      <c r="H799" s="1"/>
      <c r="I799" s="1"/>
      <c r="J799" s="1"/>
      <c r="K799" s="2"/>
      <c r="L799" s="2"/>
      <c r="M799" s="2"/>
      <c r="N799" s="3"/>
      <c r="O799" s="2"/>
      <c r="P799" s="1"/>
      <c r="Q799" s="1"/>
      <c r="R799" s="1"/>
      <c r="S799" s="1"/>
      <c r="T799" s="1"/>
      <c r="U799" s="1"/>
      <c r="V799" s="1"/>
      <c r="W799" s="1"/>
      <c r="X799" s="1"/>
      <c r="Y799" s="1"/>
      <c r="Z799" s="1"/>
    </row>
    <row r="800">
      <c r="A800" s="1"/>
      <c r="B800" s="1"/>
      <c r="C800" s="1"/>
      <c r="D800" s="1"/>
      <c r="E800" s="1"/>
      <c r="F800" s="1"/>
      <c r="G800" s="1"/>
      <c r="H800" s="1"/>
      <c r="I800" s="1"/>
      <c r="J800" s="1"/>
      <c r="K800" s="2"/>
      <c r="L800" s="2"/>
      <c r="M800" s="2"/>
      <c r="N800" s="3"/>
      <c r="O800" s="2"/>
      <c r="P800" s="1"/>
      <c r="Q800" s="1"/>
      <c r="R800" s="1"/>
      <c r="S800" s="1"/>
      <c r="T800" s="1"/>
      <c r="U800" s="1"/>
      <c r="V800" s="1"/>
      <c r="W800" s="1"/>
      <c r="X800" s="1"/>
      <c r="Y800" s="1"/>
      <c r="Z800" s="1"/>
    </row>
    <row r="801">
      <c r="A801" s="1"/>
      <c r="B801" s="1"/>
      <c r="C801" s="1"/>
      <c r="D801" s="1"/>
      <c r="E801" s="1"/>
      <c r="F801" s="1"/>
      <c r="G801" s="1"/>
      <c r="H801" s="1"/>
      <c r="I801" s="1"/>
      <c r="J801" s="1"/>
      <c r="K801" s="2"/>
      <c r="L801" s="2"/>
      <c r="M801" s="2"/>
      <c r="N801" s="3"/>
      <c r="O801" s="2"/>
      <c r="P801" s="1"/>
      <c r="Q801" s="1"/>
      <c r="R801" s="1"/>
      <c r="S801" s="1"/>
      <c r="T801" s="1"/>
      <c r="U801" s="1"/>
      <c r="V801" s="1"/>
      <c r="W801" s="1"/>
      <c r="X801" s="1"/>
      <c r="Y801" s="1"/>
      <c r="Z801" s="1"/>
    </row>
    <row r="802">
      <c r="A802" s="1"/>
      <c r="B802" s="1"/>
      <c r="C802" s="1"/>
      <c r="D802" s="1"/>
      <c r="E802" s="1"/>
      <c r="F802" s="1"/>
      <c r="G802" s="1"/>
      <c r="H802" s="1"/>
      <c r="I802" s="1"/>
      <c r="J802" s="1"/>
      <c r="K802" s="2"/>
      <c r="L802" s="2"/>
      <c r="M802" s="2"/>
      <c r="N802" s="3"/>
      <c r="O802" s="2"/>
      <c r="P802" s="1"/>
      <c r="Q802" s="1"/>
      <c r="R802" s="1"/>
      <c r="S802" s="1"/>
      <c r="T802" s="1"/>
      <c r="U802" s="1"/>
      <c r="V802" s="1"/>
      <c r="W802" s="1"/>
      <c r="X802" s="1"/>
      <c r="Y802" s="1"/>
      <c r="Z802" s="1"/>
    </row>
    <row r="803">
      <c r="A803" s="1"/>
      <c r="B803" s="1"/>
      <c r="C803" s="1"/>
      <c r="D803" s="1"/>
      <c r="E803" s="1"/>
      <c r="F803" s="1"/>
      <c r="G803" s="1"/>
      <c r="H803" s="1"/>
      <c r="I803" s="1"/>
      <c r="J803" s="1"/>
      <c r="K803" s="2"/>
      <c r="L803" s="2"/>
      <c r="M803" s="2"/>
      <c r="N803" s="3"/>
      <c r="O803" s="2"/>
      <c r="P803" s="1"/>
      <c r="Q803" s="1"/>
      <c r="R803" s="1"/>
      <c r="S803" s="1"/>
      <c r="T803" s="1"/>
      <c r="U803" s="1"/>
      <c r="V803" s="1"/>
      <c r="W803" s="1"/>
      <c r="X803" s="1"/>
      <c r="Y803" s="1"/>
      <c r="Z803" s="1"/>
    </row>
    <row r="804">
      <c r="A804" s="1"/>
      <c r="B804" s="1"/>
      <c r="C804" s="1"/>
      <c r="D804" s="1"/>
      <c r="E804" s="1"/>
      <c r="F804" s="1"/>
      <c r="G804" s="1"/>
      <c r="H804" s="1"/>
      <c r="I804" s="1"/>
      <c r="J804" s="1"/>
      <c r="K804" s="2"/>
      <c r="L804" s="2"/>
      <c r="M804" s="2"/>
      <c r="N804" s="3"/>
      <c r="O804" s="2"/>
      <c r="P804" s="1"/>
      <c r="Q804" s="1"/>
      <c r="R804" s="1"/>
      <c r="S804" s="1"/>
      <c r="T804" s="1"/>
      <c r="U804" s="1"/>
      <c r="V804" s="1"/>
      <c r="W804" s="1"/>
      <c r="X804" s="1"/>
      <c r="Y804" s="1"/>
      <c r="Z804" s="1"/>
    </row>
    <row r="805">
      <c r="A805" s="1"/>
      <c r="B805" s="1"/>
      <c r="C805" s="1"/>
      <c r="D805" s="1"/>
      <c r="E805" s="1"/>
      <c r="F805" s="1"/>
      <c r="G805" s="1"/>
      <c r="H805" s="1"/>
      <c r="I805" s="1"/>
      <c r="J805" s="1"/>
      <c r="K805" s="2"/>
      <c r="L805" s="2"/>
      <c r="M805" s="2"/>
      <c r="N805" s="3"/>
      <c r="O805" s="2"/>
      <c r="P805" s="1"/>
      <c r="Q805" s="1"/>
      <c r="R805" s="1"/>
      <c r="S805" s="1"/>
      <c r="T805" s="1"/>
      <c r="U805" s="1"/>
      <c r="V805" s="1"/>
      <c r="W805" s="1"/>
      <c r="X805" s="1"/>
      <c r="Y805" s="1"/>
      <c r="Z805" s="1"/>
    </row>
    <row r="806">
      <c r="A806" s="1"/>
      <c r="B806" s="1"/>
      <c r="C806" s="1"/>
      <c r="D806" s="1"/>
      <c r="E806" s="1"/>
      <c r="F806" s="1"/>
      <c r="G806" s="1"/>
      <c r="H806" s="1"/>
      <c r="I806" s="1"/>
      <c r="J806" s="1"/>
      <c r="K806" s="2"/>
      <c r="L806" s="2"/>
      <c r="M806" s="2"/>
      <c r="N806" s="3"/>
      <c r="O806" s="2"/>
      <c r="P806" s="1"/>
      <c r="Q806" s="1"/>
      <c r="R806" s="1"/>
      <c r="S806" s="1"/>
      <c r="T806" s="1"/>
      <c r="U806" s="1"/>
      <c r="V806" s="1"/>
      <c r="W806" s="1"/>
      <c r="X806" s="1"/>
      <c r="Y806" s="1"/>
      <c r="Z806" s="1"/>
    </row>
    <row r="807">
      <c r="A807" s="1"/>
      <c r="B807" s="1"/>
      <c r="C807" s="1"/>
      <c r="D807" s="1"/>
      <c r="E807" s="1"/>
      <c r="F807" s="1"/>
      <c r="G807" s="1"/>
      <c r="H807" s="1"/>
      <c r="I807" s="1"/>
      <c r="J807" s="1"/>
      <c r="K807" s="2"/>
      <c r="L807" s="2"/>
      <c r="M807" s="2"/>
      <c r="N807" s="3"/>
      <c r="O807" s="2"/>
      <c r="P807" s="1"/>
      <c r="Q807" s="1"/>
      <c r="R807" s="1"/>
      <c r="S807" s="1"/>
      <c r="T807" s="1"/>
      <c r="U807" s="1"/>
      <c r="V807" s="1"/>
      <c r="W807" s="1"/>
      <c r="X807" s="1"/>
      <c r="Y807" s="1"/>
      <c r="Z807" s="1"/>
    </row>
    <row r="808">
      <c r="A808" s="1"/>
      <c r="B808" s="1"/>
      <c r="C808" s="1"/>
      <c r="D808" s="1"/>
      <c r="E808" s="1"/>
      <c r="F808" s="1"/>
      <c r="G808" s="1"/>
      <c r="H808" s="1"/>
      <c r="I808" s="1"/>
      <c r="J808" s="1"/>
      <c r="K808" s="2"/>
      <c r="L808" s="2"/>
      <c r="M808" s="2"/>
      <c r="N808" s="3"/>
      <c r="O808" s="2"/>
      <c r="P808" s="1"/>
      <c r="Q808" s="1"/>
      <c r="R808" s="1"/>
      <c r="S808" s="1"/>
      <c r="T808" s="1"/>
      <c r="U808" s="1"/>
      <c r="V808" s="1"/>
      <c r="W808" s="1"/>
      <c r="X808" s="1"/>
      <c r="Y808" s="1"/>
      <c r="Z808" s="1"/>
    </row>
    <row r="809">
      <c r="A809" s="1"/>
      <c r="B809" s="1"/>
      <c r="C809" s="1"/>
      <c r="D809" s="1"/>
      <c r="E809" s="1"/>
      <c r="F809" s="1"/>
      <c r="G809" s="1"/>
      <c r="H809" s="1"/>
      <c r="I809" s="1"/>
      <c r="J809" s="1"/>
      <c r="K809" s="2"/>
      <c r="L809" s="2"/>
      <c r="M809" s="2"/>
      <c r="N809" s="3"/>
      <c r="O809" s="2"/>
      <c r="P809" s="1"/>
      <c r="Q809" s="1"/>
      <c r="R809" s="1"/>
      <c r="S809" s="1"/>
      <c r="T809" s="1"/>
      <c r="U809" s="1"/>
      <c r="V809" s="1"/>
      <c r="W809" s="1"/>
      <c r="X809" s="1"/>
      <c r="Y809" s="1"/>
      <c r="Z809" s="1"/>
    </row>
    <row r="810">
      <c r="A810" s="1"/>
      <c r="B810" s="1"/>
      <c r="C810" s="1"/>
      <c r="D810" s="1"/>
      <c r="E810" s="1"/>
      <c r="F810" s="1"/>
      <c r="G810" s="1"/>
      <c r="H810" s="1"/>
      <c r="I810" s="1"/>
      <c r="J810" s="1"/>
      <c r="K810" s="2"/>
      <c r="L810" s="2"/>
      <c r="M810" s="2"/>
      <c r="N810" s="3"/>
      <c r="O810" s="2"/>
      <c r="P810" s="1"/>
      <c r="Q810" s="1"/>
      <c r="R810" s="1"/>
      <c r="S810" s="1"/>
      <c r="T810" s="1"/>
      <c r="U810" s="1"/>
      <c r="V810" s="1"/>
      <c r="W810" s="1"/>
      <c r="X810" s="1"/>
      <c r="Y810" s="1"/>
      <c r="Z810" s="1"/>
    </row>
    <row r="811">
      <c r="A811" s="1"/>
      <c r="B811" s="1"/>
      <c r="C811" s="1"/>
      <c r="D811" s="1"/>
      <c r="E811" s="1"/>
      <c r="F811" s="1"/>
      <c r="G811" s="1"/>
      <c r="H811" s="1"/>
      <c r="I811" s="1"/>
      <c r="J811" s="1"/>
      <c r="K811" s="2"/>
      <c r="L811" s="2"/>
      <c r="M811" s="2"/>
      <c r="N811" s="3"/>
      <c r="O811" s="2"/>
      <c r="P811" s="1"/>
      <c r="Q811" s="1"/>
      <c r="R811" s="1"/>
      <c r="S811" s="1"/>
      <c r="T811" s="1"/>
      <c r="U811" s="1"/>
      <c r="V811" s="1"/>
      <c r="W811" s="1"/>
      <c r="X811" s="1"/>
      <c r="Y811" s="1"/>
      <c r="Z811" s="1"/>
    </row>
    <row r="812">
      <c r="A812" s="1"/>
      <c r="B812" s="1"/>
      <c r="C812" s="1"/>
      <c r="D812" s="1"/>
      <c r="E812" s="1"/>
      <c r="F812" s="1"/>
      <c r="G812" s="1"/>
      <c r="H812" s="1"/>
      <c r="I812" s="1"/>
      <c r="J812" s="1"/>
      <c r="K812" s="2"/>
      <c r="L812" s="2"/>
      <c r="M812" s="2"/>
      <c r="N812" s="3"/>
      <c r="O812" s="2"/>
      <c r="P812" s="1"/>
      <c r="Q812" s="1"/>
      <c r="R812" s="1"/>
      <c r="S812" s="1"/>
      <c r="T812" s="1"/>
      <c r="U812" s="1"/>
      <c r="V812" s="1"/>
      <c r="W812" s="1"/>
      <c r="X812" s="1"/>
      <c r="Y812" s="1"/>
      <c r="Z812" s="1"/>
    </row>
    <row r="813">
      <c r="A813" s="1"/>
      <c r="B813" s="1"/>
      <c r="C813" s="1"/>
      <c r="D813" s="1"/>
      <c r="E813" s="1"/>
      <c r="F813" s="1"/>
      <c r="G813" s="1"/>
      <c r="H813" s="1"/>
      <c r="I813" s="1"/>
      <c r="J813" s="1"/>
      <c r="K813" s="2"/>
      <c r="L813" s="2"/>
      <c r="M813" s="2"/>
      <c r="N813" s="3"/>
      <c r="O813" s="2"/>
      <c r="P813" s="1"/>
      <c r="Q813" s="1"/>
      <c r="R813" s="1"/>
      <c r="S813" s="1"/>
      <c r="T813" s="1"/>
      <c r="U813" s="1"/>
      <c r="V813" s="1"/>
      <c r="W813" s="1"/>
      <c r="X813" s="1"/>
      <c r="Y813" s="1"/>
      <c r="Z813" s="1"/>
    </row>
    <row r="814">
      <c r="A814" s="1"/>
      <c r="B814" s="1"/>
      <c r="C814" s="1"/>
      <c r="D814" s="1"/>
      <c r="E814" s="1"/>
      <c r="F814" s="1"/>
      <c r="G814" s="1"/>
      <c r="H814" s="1"/>
      <c r="I814" s="1"/>
      <c r="J814" s="1"/>
      <c r="K814" s="2"/>
      <c r="L814" s="2"/>
      <c r="M814" s="2"/>
      <c r="N814" s="3"/>
      <c r="O814" s="2"/>
      <c r="P814" s="1"/>
      <c r="Q814" s="1"/>
      <c r="R814" s="1"/>
      <c r="S814" s="1"/>
      <c r="T814" s="1"/>
      <c r="U814" s="1"/>
      <c r="V814" s="1"/>
      <c r="W814" s="1"/>
      <c r="X814" s="1"/>
      <c r="Y814" s="1"/>
      <c r="Z814" s="1"/>
    </row>
    <row r="815">
      <c r="A815" s="1"/>
      <c r="B815" s="1"/>
      <c r="C815" s="1"/>
      <c r="D815" s="1"/>
      <c r="E815" s="1"/>
      <c r="F815" s="1"/>
      <c r="G815" s="1"/>
      <c r="H815" s="1"/>
      <c r="I815" s="1"/>
      <c r="J815" s="1"/>
      <c r="K815" s="2"/>
      <c r="L815" s="2"/>
      <c r="M815" s="2"/>
      <c r="N815" s="3"/>
      <c r="O815" s="2"/>
      <c r="P815" s="1"/>
      <c r="Q815" s="1"/>
      <c r="R815" s="1"/>
      <c r="S815" s="1"/>
      <c r="T815" s="1"/>
      <c r="U815" s="1"/>
      <c r="V815" s="1"/>
      <c r="W815" s="1"/>
      <c r="X815" s="1"/>
      <c r="Y815" s="1"/>
      <c r="Z815" s="1"/>
    </row>
    <row r="816">
      <c r="A816" s="1"/>
      <c r="B816" s="1"/>
      <c r="C816" s="1"/>
      <c r="D816" s="1"/>
      <c r="E816" s="1"/>
      <c r="F816" s="1"/>
      <c r="G816" s="1"/>
      <c r="H816" s="1"/>
      <c r="I816" s="1"/>
      <c r="J816" s="1"/>
      <c r="K816" s="2"/>
      <c r="L816" s="2"/>
      <c r="M816" s="2"/>
      <c r="N816" s="3"/>
      <c r="O816" s="2"/>
      <c r="P816" s="1"/>
      <c r="Q816" s="1"/>
      <c r="R816" s="1"/>
      <c r="S816" s="1"/>
      <c r="T816" s="1"/>
      <c r="U816" s="1"/>
      <c r="V816" s="1"/>
      <c r="W816" s="1"/>
      <c r="X816" s="1"/>
      <c r="Y816" s="1"/>
      <c r="Z816" s="1"/>
    </row>
    <row r="817">
      <c r="A817" s="1"/>
      <c r="B817" s="1"/>
      <c r="C817" s="1"/>
      <c r="D817" s="1"/>
      <c r="E817" s="1"/>
      <c r="F817" s="1"/>
      <c r="G817" s="1"/>
      <c r="H817" s="1"/>
      <c r="I817" s="1"/>
      <c r="J817" s="1"/>
      <c r="K817" s="2"/>
      <c r="L817" s="2"/>
      <c r="M817" s="2"/>
      <c r="N817" s="3"/>
      <c r="O817" s="2"/>
      <c r="P817" s="1"/>
      <c r="Q817" s="1"/>
      <c r="R817" s="1"/>
      <c r="S817" s="1"/>
      <c r="T817" s="1"/>
      <c r="U817" s="1"/>
      <c r="V817" s="1"/>
      <c r="W817" s="1"/>
      <c r="X817" s="1"/>
      <c r="Y817" s="1"/>
      <c r="Z817" s="1"/>
    </row>
    <row r="818">
      <c r="A818" s="1"/>
      <c r="B818" s="1"/>
      <c r="C818" s="1"/>
      <c r="D818" s="1"/>
      <c r="E818" s="1"/>
      <c r="F818" s="1"/>
      <c r="G818" s="1"/>
      <c r="H818" s="1"/>
      <c r="I818" s="1"/>
      <c r="J818" s="1"/>
      <c r="K818" s="2"/>
      <c r="L818" s="2"/>
      <c r="M818" s="2"/>
      <c r="N818" s="3"/>
      <c r="O818" s="2"/>
      <c r="P818" s="1"/>
      <c r="Q818" s="1"/>
      <c r="R818" s="1"/>
      <c r="S818" s="1"/>
      <c r="T818" s="1"/>
      <c r="U818" s="1"/>
      <c r="V818" s="1"/>
      <c r="W818" s="1"/>
      <c r="X818" s="1"/>
      <c r="Y818" s="1"/>
      <c r="Z818" s="1"/>
    </row>
    <row r="819">
      <c r="A819" s="1"/>
      <c r="B819" s="1"/>
      <c r="C819" s="1"/>
      <c r="D819" s="1"/>
      <c r="E819" s="1"/>
      <c r="F819" s="1"/>
      <c r="G819" s="1"/>
      <c r="H819" s="1"/>
      <c r="I819" s="1"/>
      <c r="J819" s="1"/>
      <c r="K819" s="2"/>
      <c r="L819" s="2"/>
      <c r="M819" s="2"/>
      <c r="N819" s="3"/>
      <c r="O819" s="2"/>
      <c r="P819" s="1"/>
      <c r="Q819" s="1"/>
      <c r="R819" s="1"/>
      <c r="S819" s="1"/>
      <c r="T819" s="1"/>
      <c r="U819" s="1"/>
      <c r="V819" s="1"/>
      <c r="W819" s="1"/>
      <c r="X819" s="1"/>
      <c r="Y819" s="1"/>
      <c r="Z819" s="1"/>
    </row>
    <row r="820">
      <c r="A820" s="1"/>
      <c r="B820" s="1"/>
      <c r="C820" s="1"/>
      <c r="D820" s="1"/>
      <c r="E820" s="1"/>
      <c r="F820" s="1"/>
      <c r="G820" s="1"/>
      <c r="H820" s="1"/>
      <c r="I820" s="1"/>
      <c r="J820" s="1"/>
      <c r="K820" s="2"/>
      <c r="L820" s="2"/>
      <c r="M820" s="2"/>
      <c r="N820" s="3"/>
      <c r="O820" s="2"/>
      <c r="P820" s="1"/>
      <c r="Q820" s="1"/>
      <c r="R820" s="1"/>
      <c r="S820" s="1"/>
      <c r="T820" s="1"/>
      <c r="U820" s="1"/>
      <c r="V820" s="1"/>
      <c r="W820" s="1"/>
      <c r="X820" s="1"/>
      <c r="Y820" s="1"/>
      <c r="Z820" s="1"/>
    </row>
    <row r="821">
      <c r="A821" s="1"/>
      <c r="B821" s="1"/>
      <c r="C821" s="1"/>
      <c r="D821" s="1"/>
      <c r="E821" s="1"/>
      <c r="F821" s="1"/>
      <c r="G821" s="1"/>
      <c r="H821" s="1"/>
      <c r="I821" s="1"/>
      <c r="J821" s="1"/>
      <c r="K821" s="2"/>
      <c r="L821" s="2"/>
      <c r="M821" s="2"/>
      <c r="N821" s="3"/>
      <c r="O821" s="2"/>
      <c r="P821" s="1"/>
      <c r="Q821" s="1"/>
      <c r="R821" s="1"/>
      <c r="S821" s="1"/>
      <c r="T821" s="1"/>
      <c r="U821" s="1"/>
      <c r="V821" s="1"/>
      <c r="W821" s="1"/>
      <c r="X821" s="1"/>
      <c r="Y821" s="1"/>
      <c r="Z821" s="1"/>
    </row>
    <row r="822">
      <c r="A822" s="1"/>
      <c r="B822" s="1"/>
      <c r="C822" s="1"/>
      <c r="D822" s="1"/>
      <c r="E822" s="1"/>
      <c r="F822" s="1"/>
      <c r="G822" s="1"/>
      <c r="H822" s="1"/>
      <c r="I822" s="1"/>
      <c r="J822" s="1"/>
      <c r="K822" s="2"/>
      <c r="L822" s="2"/>
      <c r="M822" s="2"/>
      <c r="N822" s="3"/>
      <c r="O822" s="2"/>
      <c r="P822" s="1"/>
      <c r="Q822" s="1"/>
      <c r="R822" s="1"/>
      <c r="S822" s="1"/>
      <c r="T822" s="1"/>
      <c r="U822" s="1"/>
      <c r="V822" s="1"/>
      <c r="W822" s="1"/>
      <c r="X822" s="1"/>
      <c r="Y822" s="1"/>
      <c r="Z822" s="1"/>
    </row>
    <row r="823">
      <c r="A823" s="1"/>
      <c r="B823" s="1"/>
      <c r="C823" s="1"/>
      <c r="D823" s="1"/>
      <c r="E823" s="1"/>
      <c r="F823" s="1"/>
      <c r="G823" s="1"/>
      <c r="H823" s="1"/>
      <c r="I823" s="1"/>
      <c r="J823" s="1"/>
      <c r="K823" s="2"/>
      <c r="L823" s="2"/>
      <c r="M823" s="2"/>
      <c r="N823" s="3"/>
      <c r="O823" s="2"/>
      <c r="P823" s="1"/>
      <c r="Q823" s="1"/>
      <c r="R823" s="1"/>
      <c r="S823" s="1"/>
      <c r="T823" s="1"/>
      <c r="U823" s="1"/>
      <c r="V823" s="1"/>
      <c r="W823" s="1"/>
      <c r="X823" s="1"/>
      <c r="Y823" s="1"/>
      <c r="Z823" s="1"/>
    </row>
    <row r="824">
      <c r="A824" s="1"/>
      <c r="B824" s="1"/>
      <c r="C824" s="1"/>
      <c r="D824" s="1"/>
      <c r="E824" s="1"/>
      <c r="F824" s="1"/>
      <c r="G824" s="1"/>
      <c r="H824" s="1"/>
      <c r="I824" s="1"/>
      <c r="J824" s="1"/>
      <c r="K824" s="2"/>
      <c r="L824" s="2"/>
      <c r="M824" s="2"/>
      <c r="N824" s="3"/>
      <c r="O824" s="2"/>
      <c r="P824" s="1"/>
      <c r="Q824" s="1"/>
      <c r="R824" s="1"/>
      <c r="S824" s="1"/>
      <c r="T824" s="1"/>
      <c r="U824" s="1"/>
      <c r="V824" s="1"/>
      <c r="W824" s="1"/>
      <c r="X824" s="1"/>
      <c r="Y824" s="1"/>
      <c r="Z824" s="1"/>
    </row>
    <row r="825">
      <c r="A825" s="1"/>
      <c r="B825" s="1"/>
      <c r="C825" s="1"/>
      <c r="D825" s="1"/>
      <c r="E825" s="1"/>
      <c r="F825" s="1"/>
      <c r="G825" s="1"/>
      <c r="H825" s="1"/>
      <c r="I825" s="1"/>
      <c r="J825" s="1"/>
      <c r="K825" s="2"/>
      <c r="L825" s="2"/>
      <c r="M825" s="2"/>
      <c r="N825" s="3"/>
      <c r="O825" s="2"/>
      <c r="P825" s="1"/>
      <c r="Q825" s="1"/>
      <c r="R825" s="1"/>
      <c r="S825" s="1"/>
      <c r="T825" s="1"/>
      <c r="U825" s="1"/>
      <c r="V825" s="1"/>
      <c r="W825" s="1"/>
      <c r="X825" s="1"/>
      <c r="Y825" s="1"/>
      <c r="Z825" s="1"/>
    </row>
    <row r="826">
      <c r="A826" s="1"/>
      <c r="B826" s="1"/>
      <c r="C826" s="1"/>
      <c r="D826" s="1"/>
      <c r="E826" s="1"/>
      <c r="F826" s="1"/>
      <c r="G826" s="1"/>
      <c r="H826" s="1"/>
      <c r="I826" s="1"/>
      <c r="J826" s="1"/>
      <c r="K826" s="2"/>
      <c r="L826" s="2"/>
      <c r="M826" s="2"/>
      <c r="N826" s="3"/>
      <c r="O826" s="2"/>
      <c r="P826" s="1"/>
      <c r="Q826" s="1"/>
      <c r="R826" s="1"/>
      <c r="S826" s="1"/>
      <c r="T826" s="1"/>
      <c r="U826" s="1"/>
      <c r="V826" s="1"/>
      <c r="W826" s="1"/>
      <c r="X826" s="1"/>
      <c r="Y826" s="1"/>
      <c r="Z826" s="1"/>
    </row>
    <row r="827">
      <c r="A827" s="1"/>
      <c r="B827" s="1"/>
      <c r="C827" s="1"/>
      <c r="D827" s="1"/>
      <c r="E827" s="1"/>
      <c r="F827" s="1"/>
      <c r="G827" s="1"/>
      <c r="H827" s="1"/>
      <c r="I827" s="1"/>
      <c r="J827" s="1"/>
      <c r="K827" s="2"/>
      <c r="L827" s="2"/>
      <c r="M827" s="2"/>
      <c r="N827" s="3"/>
      <c r="O827" s="2"/>
      <c r="P827" s="1"/>
      <c r="Q827" s="1"/>
      <c r="R827" s="1"/>
      <c r="S827" s="1"/>
      <c r="T827" s="1"/>
      <c r="U827" s="1"/>
      <c r="V827" s="1"/>
      <c r="W827" s="1"/>
      <c r="X827" s="1"/>
      <c r="Y827" s="1"/>
      <c r="Z827" s="1"/>
    </row>
    <row r="828">
      <c r="A828" s="1"/>
      <c r="B828" s="1"/>
      <c r="C828" s="1"/>
      <c r="D828" s="1"/>
      <c r="E828" s="1"/>
      <c r="F828" s="1"/>
      <c r="G828" s="1"/>
      <c r="H828" s="1"/>
      <c r="I828" s="1"/>
      <c r="J828" s="1"/>
      <c r="K828" s="2"/>
      <c r="L828" s="2"/>
      <c r="M828" s="2"/>
      <c r="N828" s="3"/>
      <c r="O828" s="2"/>
      <c r="P828" s="1"/>
      <c r="Q828" s="1"/>
      <c r="R828" s="1"/>
      <c r="S828" s="1"/>
      <c r="T828" s="1"/>
      <c r="U828" s="1"/>
      <c r="V828" s="1"/>
      <c r="W828" s="1"/>
      <c r="X828" s="1"/>
      <c r="Y828" s="1"/>
      <c r="Z828" s="1"/>
    </row>
    <row r="829">
      <c r="A829" s="1"/>
      <c r="B829" s="1"/>
      <c r="C829" s="1"/>
      <c r="D829" s="1"/>
      <c r="E829" s="1"/>
      <c r="F829" s="1"/>
      <c r="G829" s="1"/>
      <c r="H829" s="1"/>
      <c r="I829" s="1"/>
      <c r="J829" s="1"/>
      <c r="K829" s="2"/>
      <c r="L829" s="2"/>
      <c r="M829" s="2"/>
      <c r="N829" s="3"/>
      <c r="O829" s="2"/>
      <c r="P829" s="1"/>
      <c r="Q829" s="1"/>
      <c r="R829" s="1"/>
      <c r="S829" s="1"/>
      <c r="T829" s="1"/>
      <c r="U829" s="1"/>
      <c r="V829" s="1"/>
      <c r="W829" s="1"/>
      <c r="X829" s="1"/>
      <c r="Y829" s="1"/>
      <c r="Z829" s="1"/>
    </row>
    <row r="830">
      <c r="A830" s="1"/>
      <c r="B830" s="1"/>
      <c r="C830" s="1"/>
      <c r="D830" s="1"/>
      <c r="E830" s="1"/>
      <c r="F830" s="1"/>
      <c r="G830" s="1"/>
      <c r="H830" s="1"/>
      <c r="I830" s="1"/>
      <c r="J830" s="1"/>
      <c r="K830" s="2"/>
      <c r="L830" s="2"/>
      <c r="M830" s="2"/>
      <c r="N830" s="3"/>
      <c r="O830" s="2"/>
      <c r="P830" s="1"/>
      <c r="Q830" s="1"/>
      <c r="R830" s="1"/>
      <c r="S830" s="1"/>
      <c r="T830" s="1"/>
      <c r="U830" s="1"/>
      <c r="V830" s="1"/>
      <c r="W830" s="1"/>
      <c r="X830" s="1"/>
      <c r="Y830" s="1"/>
      <c r="Z830" s="1"/>
    </row>
    <row r="831">
      <c r="A831" s="1"/>
      <c r="B831" s="1"/>
      <c r="C831" s="1"/>
      <c r="D831" s="1"/>
      <c r="E831" s="1"/>
      <c r="F831" s="1"/>
      <c r="G831" s="1"/>
      <c r="H831" s="1"/>
      <c r="I831" s="1"/>
      <c r="J831" s="1"/>
      <c r="K831" s="2"/>
      <c r="L831" s="2"/>
      <c r="M831" s="2"/>
      <c r="N831" s="3"/>
      <c r="O831" s="2"/>
      <c r="P831" s="1"/>
      <c r="Q831" s="1"/>
      <c r="R831" s="1"/>
      <c r="S831" s="1"/>
      <c r="T831" s="1"/>
      <c r="U831" s="1"/>
      <c r="V831" s="1"/>
      <c r="W831" s="1"/>
      <c r="X831" s="1"/>
      <c r="Y831" s="1"/>
      <c r="Z831" s="1"/>
    </row>
    <row r="832">
      <c r="A832" s="1"/>
      <c r="B832" s="1"/>
      <c r="C832" s="1"/>
      <c r="D832" s="1"/>
      <c r="E832" s="1"/>
      <c r="F832" s="1"/>
      <c r="G832" s="1"/>
      <c r="H832" s="1"/>
      <c r="I832" s="1"/>
      <c r="J832" s="1"/>
      <c r="K832" s="2"/>
      <c r="L832" s="2"/>
      <c r="M832" s="2"/>
      <c r="N832" s="3"/>
      <c r="O832" s="2"/>
      <c r="P832" s="1"/>
      <c r="Q832" s="1"/>
      <c r="R832" s="1"/>
      <c r="S832" s="1"/>
      <c r="T832" s="1"/>
      <c r="U832" s="1"/>
      <c r="V832" s="1"/>
      <c r="W832" s="1"/>
      <c r="X832" s="1"/>
      <c r="Y832" s="1"/>
      <c r="Z832" s="1"/>
    </row>
    <row r="833">
      <c r="A833" s="1"/>
      <c r="B833" s="1"/>
      <c r="C833" s="1"/>
      <c r="D833" s="1"/>
      <c r="E833" s="1"/>
      <c r="F833" s="1"/>
      <c r="G833" s="1"/>
      <c r="H833" s="1"/>
      <c r="I833" s="1"/>
      <c r="J833" s="1"/>
      <c r="K833" s="2"/>
      <c r="L833" s="2"/>
      <c r="M833" s="2"/>
      <c r="N833" s="3"/>
      <c r="O833" s="2"/>
      <c r="P833" s="1"/>
      <c r="Q833" s="1"/>
      <c r="R833" s="1"/>
      <c r="S833" s="1"/>
      <c r="T833" s="1"/>
      <c r="U833" s="1"/>
      <c r="V833" s="1"/>
      <c r="W833" s="1"/>
      <c r="X833" s="1"/>
      <c r="Y833" s="1"/>
      <c r="Z833" s="1"/>
    </row>
    <row r="834">
      <c r="A834" s="1"/>
      <c r="B834" s="1"/>
      <c r="C834" s="1"/>
      <c r="D834" s="1"/>
      <c r="E834" s="1"/>
      <c r="F834" s="1"/>
      <c r="G834" s="1"/>
      <c r="H834" s="1"/>
      <c r="I834" s="1"/>
      <c r="J834" s="1"/>
      <c r="K834" s="2"/>
      <c r="L834" s="2"/>
      <c r="M834" s="2"/>
      <c r="N834" s="3"/>
      <c r="O834" s="2"/>
      <c r="P834" s="1"/>
      <c r="Q834" s="1"/>
      <c r="R834" s="1"/>
      <c r="S834" s="1"/>
      <c r="T834" s="1"/>
      <c r="U834" s="1"/>
      <c r="V834" s="1"/>
      <c r="W834" s="1"/>
      <c r="X834" s="1"/>
      <c r="Y834" s="1"/>
      <c r="Z834" s="1"/>
    </row>
    <row r="835">
      <c r="A835" s="1"/>
      <c r="B835" s="1"/>
      <c r="C835" s="1"/>
      <c r="D835" s="1"/>
      <c r="E835" s="1"/>
      <c r="F835" s="1"/>
      <c r="G835" s="1"/>
      <c r="H835" s="1"/>
      <c r="I835" s="1"/>
      <c r="J835" s="1"/>
      <c r="K835" s="2"/>
      <c r="L835" s="2"/>
      <c r="M835" s="2"/>
      <c r="N835" s="3"/>
      <c r="O835" s="2"/>
      <c r="P835" s="1"/>
      <c r="Q835" s="1"/>
      <c r="R835" s="1"/>
      <c r="S835" s="1"/>
      <c r="T835" s="1"/>
      <c r="U835" s="1"/>
      <c r="V835" s="1"/>
      <c r="W835" s="1"/>
      <c r="X835" s="1"/>
      <c r="Y835" s="1"/>
      <c r="Z835" s="1"/>
    </row>
    <row r="836">
      <c r="A836" s="1"/>
      <c r="B836" s="1"/>
      <c r="C836" s="1"/>
      <c r="D836" s="1"/>
      <c r="E836" s="1"/>
      <c r="F836" s="1"/>
      <c r="G836" s="1"/>
      <c r="H836" s="1"/>
      <c r="I836" s="1"/>
      <c r="J836" s="1"/>
      <c r="K836" s="2"/>
      <c r="L836" s="2"/>
      <c r="M836" s="2"/>
      <c r="N836" s="3"/>
      <c r="O836" s="2"/>
      <c r="P836" s="1"/>
      <c r="Q836" s="1"/>
      <c r="R836" s="1"/>
      <c r="S836" s="1"/>
      <c r="T836" s="1"/>
      <c r="U836" s="1"/>
      <c r="V836" s="1"/>
      <c r="W836" s="1"/>
      <c r="X836" s="1"/>
      <c r="Y836" s="1"/>
      <c r="Z836" s="1"/>
    </row>
    <row r="837">
      <c r="A837" s="1"/>
      <c r="B837" s="1"/>
      <c r="C837" s="1"/>
      <c r="D837" s="1"/>
      <c r="E837" s="1"/>
      <c r="F837" s="1"/>
      <c r="G837" s="1"/>
      <c r="H837" s="1"/>
      <c r="I837" s="1"/>
      <c r="J837" s="1"/>
      <c r="K837" s="2"/>
      <c r="L837" s="2"/>
      <c r="M837" s="2"/>
      <c r="N837" s="3"/>
      <c r="O837" s="2"/>
      <c r="P837" s="1"/>
      <c r="Q837" s="1"/>
      <c r="R837" s="1"/>
      <c r="S837" s="1"/>
      <c r="T837" s="1"/>
      <c r="U837" s="1"/>
      <c r="V837" s="1"/>
      <c r="W837" s="1"/>
      <c r="X837" s="1"/>
      <c r="Y837" s="1"/>
      <c r="Z837" s="1"/>
    </row>
    <row r="838">
      <c r="A838" s="1"/>
      <c r="B838" s="1"/>
      <c r="C838" s="1"/>
      <c r="D838" s="1"/>
      <c r="E838" s="1"/>
      <c r="F838" s="1"/>
      <c r="G838" s="1"/>
      <c r="H838" s="1"/>
      <c r="I838" s="1"/>
      <c r="J838" s="1"/>
      <c r="K838" s="2"/>
      <c r="L838" s="2"/>
      <c r="M838" s="2"/>
      <c r="N838" s="3"/>
      <c r="O838" s="2"/>
      <c r="P838" s="1"/>
      <c r="Q838" s="1"/>
      <c r="R838" s="1"/>
      <c r="S838" s="1"/>
      <c r="T838" s="1"/>
      <c r="U838" s="1"/>
      <c r="V838" s="1"/>
      <c r="W838" s="1"/>
      <c r="X838" s="1"/>
      <c r="Y838" s="1"/>
      <c r="Z838" s="1"/>
    </row>
    <row r="839">
      <c r="A839" s="1"/>
      <c r="B839" s="1"/>
      <c r="C839" s="1"/>
      <c r="D839" s="1"/>
      <c r="E839" s="1"/>
      <c r="F839" s="1"/>
      <c r="G839" s="1"/>
      <c r="H839" s="1"/>
      <c r="I839" s="1"/>
      <c r="J839" s="1"/>
      <c r="K839" s="2"/>
      <c r="L839" s="2"/>
      <c r="M839" s="2"/>
      <c r="N839" s="3"/>
      <c r="O839" s="2"/>
      <c r="P839" s="1"/>
      <c r="Q839" s="1"/>
      <c r="R839" s="1"/>
      <c r="S839" s="1"/>
      <c r="T839" s="1"/>
      <c r="U839" s="1"/>
      <c r="V839" s="1"/>
      <c r="W839" s="1"/>
      <c r="X839" s="1"/>
      <c r="Y839" s="1"/>
      <c r="Z839" s="1"/>
    </row>
    <row r="840">
      <c r="A840" s="1"/>
      <c r="B840" s="1"/>
      <c r="C840" s="1"/>
      <c r="D840" s="1"/>
      <c r="E840" s="1"/>
      <c r="F840" s="1"/>
      <c r="G840" s="1"/>
      <c r="H840" s="1"/>
      <c r="I840" s="1"/>
      <c r="J840" s="1"/>
      <c r="K840" s="2"/>
      <c r="L840" s="2"/>
      <c r="M840" s="2"/>
      <c r="N840" s="3"/>
      <c r="O840" s="2"/>
      <c r="P840" s="1"/>
      <c r="Q840" s="1"/>
      <c r="R840" s="1"/>
      <c r="S840" s="1"/>
      <c r="T840" s="1"/>
      <c r="U840" s="1"/>
      <c r="V840" s="1"/>
      <c r="W840" s="1"/>
      <c r="X840" s="1"/>
      <c r="Y840" s="1"/>
      <c r="Z840" s="1"/>
    </row>
    <row r="841">
      <c r="A841" s="1"/>
      <c r="B841" s="1"/>
      <c r="C841" s="1"/>
      <c r="D841" s="1"/>
      <c r="E841" s="1"/>
      <c r="F841" s="1"/>
      <c r="G841" s="1"/>
      <c r="H841" s="1"/>
      <c r="I841" s="1"/>
      <c r="J841" s="1"/>
      <c r="K841" s="2"/>
      <c r="L841" s="2"/>
      <c r="M841" s="2"/>
      <c r="N841" s="3"/>
      <c r="O841" s="2"/>
      <c r="P841" s="1"/>
      <c r="Q841" s="1"/>
      <c r="R841" s="1"/>
      <c r="S841" s="1"/>
      <c r="T841" s="1"/>
      <c r="U841" s="1"/>
      <c r="V841" s="1"/>
      <c r="W841" s="1"/>
      <c r="X841" s="1"/>
      <c r="Y841" s="1"/>
      <c r="Z841" s="1"/>
    </row>
    <row r="842">
      <c r="A842" s="1"/>
      <c r="B842" s="1"/>
      <c r="C842" s="1"/>
      <c r="D842" s="1"/>
      <c r="E842" s="1"/>
      <c r="F842" s="1"/>
      <c r="G842" s="1"/>
      <c r="H842" s="1"/>
      <c r="I842" s="1"/>
      <c r="J842" s="1"/>
      <c r="K842" s="2"/>
      <c r="L842" s="2"/>
      <c r="M842" s="2"/>
      <c r="N842" s="3"/>
      <c r="O842" s="2"/>
      <c r="P842" s="1"/>
      <c r="Q842" s="1"/>
      <c r="R842" s="1"/>
      <c r="S842" s="1"/>
      <c r="T842" s="1"/>
      <c r="U842" s="1"/>
      <c r="V842" s="1"/>
      <c r="W842" s="1"/>
      <c r="X842" s="1"/>
      <c r="Y842" s="1"/>
      <c r="Z842" s="1"/>
    </row>
    <row r="843">
      <c r="A843" s="1"/>
      <c r="B843" s="1"/>
      <c r="C843" s="1"/>
      <c r="D843" s="1"/>
      <c r="E843" s="1"/>
      <c r="F843" s="1"/>
      <c r="G843" s="1"/>
      <c r="H843" s="1"/>
      <c r="I843" s="1"/>
      <c r="J843" s="1"/>
      <c r="K843" s="2"/>
      <c r="L843" s="2"/>
      <c r="M843" s="2"/>
      <c r="N843" s="3"/>
      <c r="O843" s="2"/>
      <c r="P843" s="1"/>
      <c r="Q843" s="1"/>
      <c r="R843" s="1"/>
      <c r="S843" s="1"/>
      <c r="T843" s="1"/>
      <c r="U843" s="1"/>
      <c r="V843" s="1"/>
      <c r="W843" s="1"/>
      <c r="X843" s="1"/>
      <c r="Y843" s="1"/>
      <c r="Z843" s="1"/>
    </row>
    <row r="844">
      <c r="A844" s="1"/>
      <c r="B844" s="1"/>
      <c r="C844" s="1"/>
      <c r="D844" s="1"/>
      <c r="E844" s="1"/>
      <c r="F844" s="1"/>
      <c r="G844" s="1"/>
      <c r="H844" s="1"/>
      <c r="I844" s="1"/>
      <c r="J844" s="1"/>
      <c r="K844" s="2"/>
      <c r="L844" s="2"/>
      <c r="M844" s="2"/>
      <c r="N844" s="3"/>
      <c r="O844" s="2"/>
      <c r="P844" s="1"/>
      <c r="Q844" s="1"/>
      <c r="R844" s="1"/>
      <c r="S844" s="1"/>
      <c r="T844" s="1"/>
      <c r="U844" s="1"/>
      <c r="V844" s="1"/>
      <c r="W844" s="1"/>
      <c r="X844" s="1"/>
      <c r="Y844" s="1"/>
      <c r="Z844" s="1"/>
    </row>
    <row r="845">
      <c r="A845" s="1"/>
      <c r="B845" s="1"/>
      <c r="C845" s="1"/>
      <c r="D845" s="1"/>
      <c r="E845" s="1"/>
      <c r="F845" s="1"/>
      <c r="G845" s="1"/>
      <c r="H845" s="1"/>
      <c r="I845" s="1"/>
      <c r="J845" s="1"/>
      <c r="K845" s="2"/>
      <c r="L845" s="2"/>
      <c r="M845" s="2"/>
      <c r="N845" s="3"/>
      <c r="O845" s="2"/>
      <c r="P845" s="1"/>
      <c r="Q845" s="1"/>
      <c r="R845" s="1"/>
      <c r="S845" s="1"/>
      <c r="T845" s="1"/>
      <c r="U845" s="1"/>
      <c r="V845" s="1"/>
      <c r="W845" s="1"/>
      <c r="X845" s="1"/>
      <c r="Y845" s="1"/>
      <c r="Z845" s="1"/>
    </row>
    <row r="846">
      <c r="A846" s="1"/>
      <c r="B846" s="1"/>
      <c r="C846" s="1"/>
      <c r="D846" s="1"/>
      <c r="E846" s="1"/>
      <c r="F846" s="1"/>
      <c r="G846" s="1"/>
      <c r="H846" s="1"/>
      <c r="I846" s="1"/>
      <c r="J846" s="1"/>
      <c r="K846" s="2"/>
      <c r="L846" s="2"/>
      <c r="M846" s="2"/>
      <c r="N846" s="3"/>
      <c r="O846" s="2"/>
      <c r="P846" s="1"/>
      <c r="Q846" s="1"/>
      <c r="R846" s="1"/>
      <c r="S846" s="1"/>
      <c r="T846" s="1"/>
      <c r="U846" s="1"/>
      <c r="V846" s="1"/>
      <c r="W846" s="1"/>
      <c r="X846" s="1"/>
      <c r="Y846" s="1"/>
      <c r="Z846" s="1"/>
    </row>
    <row r="847">
      <c r="A847" s="1"/>
      <c r="B847" s="1"/>
      <c r="C847" s="1"/>
      <c r="D847" s="1"/>
      <c r="E847" s="1"/>
      <c r="F847" s="1"/>
      <c r="G847" s="1"/>
      <c r="H847" s="1"/>
      <c r="I847" s="1"/>
      <c r="J847" s="1"/>
      <c r="K847" s="2"/>
      <c r="L847" s="2"/>
      <c r="M847" s="2"/>
      <c r="N847" s="3"/>
      <c r="O847" s="2"/>
      <c r="P847" s="1"/>
      <c r="Q847" s="1"/>
      <c r="R847" s="1"/>
      <c r="S847" s="1"/>
      <c r="T847" s="1"/>
      <c r="U847" s="1"/>
      <c r="V847" s="1"/>
      <c r="W847" s="1"/>
      <c r="X847" s="1"/>
      <c r="Y847" s="1"/>
      <c r="Z847" s="1"/>
    </row>
    <row r="848">
      <c r="A848" s="1"/>
      <c r="B848" s="1"/>
      <c r="C848" s="1"/>
      <c r="D848" s="1"/>
      <c r="E848" s="1"/>
      <c r="F848" s="1"/>
      <c r="G848" s="1"/>
      <c r="H848" s="1"/>
      <c r="I848" s="1"/>
      <c r="J848" s="1"/>
      <c r="K848" s="2"/>
      <c r="L848" s="2"/>
      <c r="M848" s="2"/>
      <c r="N848" s="3"/>
      <c r="O848" s="2"/>
      <c r="P848" s="1"/>
      <c r="Q848" s="1"/>
      <c r="R848" s="1"/>
      <c r="S848" s="1"/>
      <c r="T848" s="1"/>
      <c r="U848" s="1"/>
      <c r="V848" s="1"/>
      <c r="W848" s="1"/>
      <c r="X848" s="1"/>
      <c r="Y848" s="1"/>
      <c r="Z848" s="1"/>
    </row>
    <row r="849">
      <c r="A849" s="1"/>
      <c r="B849" s="1"/>
      <c r="C849" s="1"/>
      <c r="D849" s="1"/>
      <c r="E849" s="1"/>
      <c r="F849" s="1"/>
      <c r="G849" s="1"/>
      <c r="H849" s="1"/>
      <c r="I849" s="1"/>
      <c r="J849" s="1"/>
      <c r="K849" s="2"/>
      <c r="L849" s="2"/>
      <c r="M849" s="2"/>
      <c r="N849" s="3"/>
      <c r="O849" s="2"/>
      <c r="P849" s="1"/>
      <c r="Q849" s="1"/>
      <c r="R849" s="1"/>
      <c r="S849" s="1"/>
      <c r="T849" s="1"/>
      <c r="U849" s="1"/>
      <c r="V849" s="1"/>
      <c r="W849" s="1"/>
      <c r="X849" s="1"/>
      <c r="Y849" s="1"/>
      <c r="Z849" s="1"/>
    </row>
    <row r="850">
      <c r="A850" s="1"/>
      <c r="B850" s="1"/>
      <c r="C850" s="1"/>
      <c r="D850" s="1"/>
      <c r="E850" s="1"/>
      <c r="F850" s="1"/>
      <c r="G850" s="1"/>
      <c r="H850" s="1"/>
      <c r="I850" s="1"/>
      <c r="J850" s="1"/>
      <c r="K850" s="2"/>
      <c r="L850" s="2"/>
      <c r="M850" s="2"/>
      <c r="N850" s="3"/>
      <c r="O850" s="2"/>
      <c r="P850" s="1"/>
      <c r="Q850" s="1"/>
      <c r="R850" s="1"/>
      <c r="S850" s="1"/>
      <c r="T850" s="1"/>
      <c r="U850" s="1"/>
      <c r="V850" s="1"/>
      <c r="W850" s="1"/>
      <c r="X850" s="1"/>
      <c r="Y850" s="1"/>
      <c r="Z850" s="1"/>
    </row>
    <row r="851">
      <c r="A851" s="1"/>
      <c r="B851" s="1"/>
      <c r="C851" s="1"/>
      <c r="D851" s="1"/>
      <c r="E851" s="1"/>
      <c r="F851" s="1"/>
      <c r="G851" s="1"/>
      <c r="H851" s="1"/>
      <c r="I851" s="1"/>
      <c r="J851" s="1"/>
      <c r="K851" s="2"/>
      <c r="L851" s="2"/>
      <c r="M851" s="2"/>
      <c r="N851" s="3"/>
      <c r="O851" s="2"/>
      <c r="P851" s="1"/>
      <c r="Q851" s="1"/>
      <c r="R851" s="1"/>
      <c r="S851" s="1"/>
      <c r="T851" s="1"/>
      <c r="U851" s="1"/>
      <c r="V851" s="1"/>
      <c r="W851" s="1"/>
      <c r="X851" s="1"/>
      <c r="Y851" s="1"/>
      <c r="Z851" s="1"/>
    </row>
    <row r="852">
      <c r="A852" s="1"/>
      <c r="B852" s="1"/>
      <c r="C852" s="1"/>
      <c r="D852" s="1"/>
      <c r="E852" s="1"/>
      <c r="F852" s="1"/>
      <c r="G852" s="1"/>
      <c r="H852" s="1"/>
      <c r="I852" s="1"/>
      <c r="J852" s="1"/>
      <c r="K852" s="2"/>
      <c r="L852" s="2"/>
      <c r="M852" s="2"/>
      <c r="N852" s="3"/>
      <c r="O852" s="2"/>
      <c r="P852" s="1"/>
      <c r="Q852" s="1"/>
      <c r="R852" s="1"/>
      <c r="S852" s="1"/>
      <c r="T852" s="1"/>
      <c r="U852" s="1"/>
      <c r="V852" s="1"/>
      <c r="W852" s="1"/>
      <c r="X852" s="1"/>
      <c r="Y852" s="1"/>
      <c r="Z852" s="1"/>
    </row>
    <row r="853">
      <c r="A853" s="1"/>
      <c r="B853" s="1"/>
      <c r="C853" s="1"/>
      <c r="D853" s="1"/>
      <c r="E853" s="1"/>
      <c r="F853" s="1"/>
      <c r="G853" s="1"/>
      <c r="H853" s="1"/>
      <c r="I853" s="1"/>
      <c r="J853" s="1"/>
      <c r="K853" s="2"/>
      <c r="L853" s="2"/>
      <c r="M853" s="2"/>
      <c r="N853" s="3"/>
      <c r="O853" s="2"/>
      <c r="P853" s="1"/>
      <c r="Q853" s="1"/>
      <c r="R853" s="1"/>
      <c r="S853" s="1"/>
      <c r="T853" s="1"/>
      <c r="U853" s="1"/>
      <c r="V853" s="1"/>
      <c r="W853" s="1"/>
      <c r="X853" s="1"/>
      <c r="Y853" s="1"/>
      <c r="Z853" s="1"/>
    </row>
    <row r="854">
      <c r="A854" s="1"/>
      <c r="B854" s="1"/>
      <c r="C854" s="1"/>
      <c r="D854" s="1"/>
      <c r="E854" s="1"/>
      <c r="F854" s="1"/>
      <c r="G854" s="1"/>
      <c r="H854" s="1"/>
      <c r="I854" s="1"/>
      <c r="J854" s="1"/>
      <c r="K854" s="2"/>
      <c r="L854" s="2"/>
      <c r="M854" s="2"/>
      <c r="N854" s="3"/>
      <c r="O854" s="2"/>
      <c r="P854" s="1"/>
      <c r="Q854" s="1"/>
      <c r="R854" s="1"/>
      <c r="S854" s="1"/>
      <c r="T854" s="1"/>
      <c r="U854" s="1"/>
      <c r="V854" s="1"/>
      <c r="W854" s="1"/>
      <c r="X854" s="1"/>
      <c r="Y854" s="1"/>
      <c r="Z854" s="1"/>
    </row>
    <row r="855">
      <c r="A855" s="1"/>
      <c r="B855" s="1"/>
      <c r="C855" s="1"/>
      <c r="D855" s="1"/>
      <c r="E855" s="1"/>
      <c r="F855" s="1"/>
      <c r="G855" s="1"/>
      <c r="H855" s="1"/>
      <c r="I855" s="1"/>
      <c r="J855" s="1"/>
      <c r="K855" s="2"/>
      <c r="L855" s="2"/>
      <c r="M855" s="2"/>
      <c r="N855" s="3"/>
      <c r="O855" s="2"/>
      <c r="P855" s="1"/>
      <c r="Q855" s="1"/>
      <c r="R855" s="1"/>
      <c r="S855" s="1"/>
      <c r="T855" s="1"/>
      <c r="U855" s="1"/>
      <c r="V855" s="1"/>
      <c r="W855" s="1"/>
      <c r="X855" s="1"/>
      <c r="Y855" s="1"/>
      <c r="Z855" s="1"/>
    </row>
    <row r="856">
      <c r="A856" s="1"/>
      <c r="B856" s="1"/>
      <c r="C856" s="1"/>
      <c r="D856" s="1"/>
      <c r="E856" s="1"/>
      <c r="F856" s="1"/>
      <c r="G856" s="1"/>
      <c r="H856" s="1"/>
      <c r="I856" s="1"/>
      <c r="J856" s="1"/>
      <c r="K856" s="2"/>
      <c r="L856" s="2"/>
      <c r="M856" s="2"/>
      <c r="N856" s="3"/>
      <c r="O856" s="2"/>
      <c r="P856" s="1"/>
      <c r="Q856" s="1"/>
      <c r="R856" s="1"/>
      <c r="S856" s="1"/>
      <c r="T856" s="1"/>
      <c r="U856" s="1"/>
      <c r="V856" s="1"/>
      <c r="W856" s="1"/>
      <c r="X856" s="1"/>
      <c r="Y856" s="1"/>
      <c r="Z856" s="1"/>
    </row>
    <row r="857">
      <c r="A857" s="1"/>
      <c r="B857" s="1"/>
      <c r="C857" s="1"/>
      <c r="D857" s="1"/>
      <c r="E857" s="1"/>
      <c r="F857" s="1"/>
      <c r="G857" s="1"/>
      <c r="H857" s="1"/>
      <c r="I857" s="1"/>
      <c r="J857" s="1"/>
      <c r="K857" s="2"/>
      <c r="L857" s="2"/>
      <c r="M857" s="2"/>
      <c r="N857" s="3"/>
      <c r="O857" s="2"/>
      <c r="P857" s="1"/>
      <c r="Q857" s="1"/>
      <c r="R857" s="1"/>
      <c r="S857" s="1"/>
      <c r="T857" s="1"/>
      <c r="U857" s="1"/>
      <c r="V857" s="1"/>
      <c r="W857" s="1"/>
      <c r="X857" s="1"/>
      <c r="Y857" s="1"/>
      <c r="Z857" s="1"/>
    </row>
    <row r="858">
      <c r="A858" s="1"/>
      <c r="B858" s="1"/>
      <c r="C858" s="1"/>
      <c r="D858" s="1"/>
      <c r="E858" s="1"/>
      <c r="F858" s="1"/>
      <c r="G858" s="1"/>
      <c r="H858" s="1"/>
      <c r="I858" s="1"/>
      <c r="J858" s="1"/>
      <c r="K858" s="2"/>
      <c r="L858" s="2"/>
      <c r="M858" s="2"/>
      <c r="N858" s="3"/>
      <c r="O858" s="2"/>
      <c r="P858" s="1"/>
      <c r="Q858" s="1"/>
      <c r="R858" s="1"/>
      <c r="S858" s="1"/>
      <c r="T858" s="1"/>
      <c r="U858" s="1"/>
      <c r="V858" s="1"/>
      <c r="W858" s="1"/>
      <c r="X858" s="1"/>
      <c r="Y858" s="1"/>
      <c r="Z858" s="1"/>
    </row>
    <row r="859">
      <c r="A859" s="1"/>
      <c r="B859" s="1"/>
      <c r="C859" s="1"/>
      <c r="D859" s="1"/>
      <c r="E859" s="1"/>
      <c r="F859" s="1"/>
      <c r="G859" s="1"/>
      <c r="H859" s="1"/>
      <c r="I859" s="1"/>
      <c r="J859" s="1"/>
      <c r="K859" s="2"/>
      <c r="L859" s="2"/>
      <c r="M859" s="2"/>
      <c r="N859" s="3"/>
      <c r="O859" s="2"/>
      <c r="P859" s="1"/>
      <c r="Q859" s="1"/>
      <c r="R859" s="1"/>
      <c r="S859" s="1"/>
      <c r="T859" s="1"/>
      <c r="U859" s="1"/>
      <c r="V859" s="1"/>
      <c r="W859" s="1"/>
      <c r="X859" s="1"/>
      <c r="Y859" s="1"/>
      <c r="Z859" s="1"/>
    </row>
    <row r="860">
      <c r="A860" s="1"/>
      <c r="B860" s="1"/>
      <c r="C860" s="1"/>
      <c r="D860" s="1"/>
      <c r="E860" s="1"/>
      <c r="F860" s="1"/>
      <c r="G860" s="1"/>
      <c r="H860" s="1"/>
      <c r="I860" s="1"/>
      <c r="J860" s="1"/>
      <c r="K860" s="2"/>
      <c r="L860" s="2"/>
      <c r="M860" s="2"/>
      <c r="N860" s="3"/>
      <c r="O860" s="2"/>
      <c r="P860" s="1"/>
      <c r="Q860" s="1"/>
      <c r="R860" s="1"/>
      <c r="S860" s="1"/>
      <c r="T860" s="1"/>
      <c r="U860" s="1"/>
      <c r="V860" s="1"/>
      <c r="W860" s="1"/>
      <c r="X860" s="1"/>
      <c r="Y860" s="1"/>
      <c r="Z860" s="1"/>
    </row>
    <row r="861">
      <c r="A861" s="1"/>
      <c r="B861" s="1"/>
      <c r="C861" s="1"/>
      <c r="D861" s="1"/>
      <c r="E861" s="1"/>
      <c r="F861" s="1"/>
      <c r="G861" s="1"/>
      <c r="H861" s="1"/>
      <c r="I861" s="1"/>
      <c r="J861" s="1"/>
      <c r="K861" s="2"/>
      <c r="L861" s="2"/>
      <c r="M861" s="2"/>
      <c r="N861" s="3"/>
      <c r="O861" s="2"/>
      <c r="P861" s="1"/>
      <c r="Q861" s="1"/>
      <c r="R861" s="1"/>
      <c r="S861" s="1"/>
      <c r="T861" s="1"/>
      <c r="U861" s="1"/>
      <c r="V861" s="1"/>
      <c r="W861" s="1"/>
      <c r="X861" s="1"/>
      <c r="Y861" s="1"/>
      <c r="Z861" s="1"/>
    </row>
    <row r="862">
      <c r="A862" s="1"/>
      <c r="B862" s="1"/>
      <c r="C862" s="1"/>
      <c r="D862" s="1"/>
      <c r="E862" s="1"/>
      <c r="F862" s="1"/>
      <c r="G862" s="1"/>
      <c r="H862" s="1"/>
      <c r="I862" s="1"/>
      <c r="J862" s="1"/>
      <c r="K862" s="2"/>
      <c r="L862" s="2"/>
      <c r="M862" s="2"/>
      <c r="N862" s="3"/>
      <c r="O862" s="2"/>
      <c r="P862" s="1"/>
      <c r="Q862" s="1"/>
      <c r="R862" s="1"/>
      <c r="S862" s="1"/>
      <c r="T862" s="1"/>
      <c r="U862" s="1"/>
      <c r="V862" s="1"/>
      <c r="W862" s="1"/>
      <c r="X862" s="1"/>
      <c r="Y862" s="1"/>
      <c r="Z862" s="1"/>
    </row>
    <row r="863">
      <c r="A863" s="1"/>
      <c r="B863" s="1"/>
      <c r="C863" s="1"/>
      <c r="D863" s="1"/>
      <c r="E863" s="1"/>
      <c r="F863" s="1"/>
      <c r="G863" s="1"/>
      <c r="H863" s="1"/>
      <c r="I863" s="1"/>
      <c r="J863" s="1"/>
      <c r="K863" s="2"/>
      <c r="L863" s="2"/>
      <c r="M863" s="2"/>
      <c r="N863" s="3"/>
      <c r="O863" s="2"/>
      <c r="P863" s="1"/>
      <c r="Q863" s="1"/>
      <c r="R863" s="1"/>
      <c r="S863" s="1"/>
      <c r="T863" s="1"/>
      <c r="U863" s="1"/>
      <c r="V863" s="1"/>
      <c r="W863" s="1"/>
      <c r="X863" s="1"/>
      <c r="Y863" s="1"/>
      <c r="Z863" s="1"/>
    </row>
    <row r="864">
      <c r="A864" s="1"/>
      <c r="B864" s="1"/>
      <c r="C864" s="1"/>
      <c r="D864" s="1"/>
      <c r="E864" s="1"/>
      <c r="F864" s="1"/>
      <c r="G864" s="1"/>
      <c r="H864" s="1"/>
      <c r="I864" s="1"/>
      <c r="J864" s="1"/>
      <c r="K864" s="2"/>
      <c r="L864" s="2"/>
      <c r="M864" s="2"/>
      <c r="N864" s="3"/>
      <c r="O864" s="2"/>
      <c r="P864" s="1"/>
      <c r="Q864" s="1"/>
      <c r="R864" s="1"/>
      <c r="S864" s="1"/>
      <c r="T864" s="1"/>
      <c r="U864" s="1"/>
      <c r="V864" s="1"/>
      <c r="W864" s="1"/>
      <c r="X864" s="1"/>
      <c r="Y864" s="1"/>
      <c r="Z864" s="1"/>
    </row>
    <row r="865">
      <c r="A865" s="1"/>
      <c r="B865" s="1"/>
      <c r="C865" s="1"/>
      <c r="D865" s="1"/>
      <c r="E865" s="1"/>
      <c r="F865" s="1"/>
      <c r="G865" s="1"/>
      <c r="H865" s="1"/>
      <c r="I865" s="1"/>
      <c r="J865" s="1"/>
      <c r="K865" s="2"/>
      <c r="L865" s="2"/>
      <c r="M865" s="2"/>
      <c r="N865" s="3"/>
      <c r="O865" s="2"/>
      <c r="P865" s="1"/>
      <c r="Q865" s="1"/>
      <c r="R865" s="1"/>
      <c r="S865" s="1"/>
      <c r="T865" s="1"/>
      <c r="U865" s="1"/>
      <c r="V865" s="1"/>
      <c r="W865" s="1"/>
      <c r="X865" s="1"/>
      <c r="Y865" s="1"/>
      <c r="Z865" s="1"/>
    </row>
    <row r="866">
      <c r="A866" s="1"/>
      <c r="B866" s="1"/>
      <c r="C866" s="1"/>
      <c r="D866" s="1"/>
      <c r="E866" s="1"/>
      <c r="F866" s="1"/>
      <c r="G866" s="1"/>
      <c r="H866" s="1"/>
      <c r="I866" s="1"/>
      <c r="J866" s="1"/>
      <c r="K866" s="2"/>
      <c r="L866" s="2"/>
      <c r="M866" s="2"/>
      <c r="N866" s="3"/>
      <c r="O866" s="2"/>
      <c r="P866" s="1"/>
      <c r="Q866" s="1"/>
      <c r="R866" s="1"/>
      <c r="S866" s="1"/>
      <c r="T866" s="1"/>
      <c r="U866" s="1"/>
      <c r="V866" s="1"/>
      <c r="W866" s="1"/>
      <c r="X866" s="1"/>
      <c r="Y866" s="1"/>
      <c r="Z866" s="1"/>
    </row>
    <row r="867">
      <c r="A867" s="1"/>
      <c r="B867" s="1"/>
      <c r="C867" s="1"/>
      <c r="D867" s="1"/>
      <c r="E867" s="1"/>
      <c r="F867" s="1"/>
      <c r="G867" s="1"/>
      <c r="H867" s="1"/>
      <c r="I867" s="1"/>
      <c r="J867" s="1"/>
      <c r="K867" s="2"/>
      <c r="L867" s="2"/>
      <c r="M867" s="2"/>
      <c r="N867" s="3"/>
      <c r="O867" s="2"/>
      <c r="P867" s="1"/>
      <c r="Q867" s="1"/>
      <c r="R867" s="1"/>
      <c r="S867" s="1"/>
      <c r="T867" s="1"/>
      <c r="U867" s="1"/>
      <c r="V867" s="1"/>
      <c r="W867" s="1"/>
      <c r="X867" s="1"/>
      <c r="Y867" s="1"/>
      <c r="Z867" s="1"/>
    </row>
    <row r="868">
      <c r="A868" s="1"/>
      <c r="B868" s="1"/>
      <c r="C868" s="1"/>
      <c r="D868" s="1"/>
      <c r="E868" s="1"/>
      <c r="F868" s="1"/>
      <c r="G868" s="1"/>
      <c r="H868" s="1"/>
      <c r="I868" s="1"/>
      <c r="J868" s="1"/>
      <c r="K868" s="2"/>
      <c r="L868" s="2"/>
      <c r="M868" s="2"/>
      <c r="N868" s="3"/>
      <c r="O868" s="2"/>
      <c r="P868" s="1"/>
      <c r="Q868" s="1"/>
      <c r="R868" s="1"/>
      <c r="S868" s="1"/>
      <c r="T868" s="1"/>
      <c r="U868" s="1"/>
      <c r="V868" s="1"/>
      <c r="W868" s="1"/>
      <c r="X868" s="1"/>
      <c r="Y868" s="1"/>
      <c r="Z868" s="1"/>
    </row>
    <row r="869">
      <c r="A869" s="1"/>
      <c r="B869" s="1"/>
      <c r="C869" s="1"/>
      <c r="D869" s="1"/>
      <c r="E869" s="1"/>
      <c r="F869" s="1"/>
      <c r="G869" s="1"/>
      <c r="H869" s="1"/>
      <c r="I869" s="1"/>
      <c r="J869" s="1"/>
      <c r="K869" s="2"/>
      <c r="L869" s="2"/>
      <c r="M869" s="2"/>
      <c r="N869" s="3"/>
      <c r="O869" s="2"/>
      <c r="P869" s="1"/>
      <c r="Q869" s="1"/>
      <c r="R869" s="1"/>
      <c r="S869" s="1"/>
      <c r="T869" s="1"/>
      <c r="U869" s="1"/>
      <c r="V869" s="1"/>
      <c r="W869" s="1"/>
      <c r="X869" s="1"/>
      <c r="Y869" s="1"/>
      <c r="Z869" s="1"/>
    </row>
    <row r="870">
      <c r="A870" s="1"/>
      <c r="B870" s="1"/>
      <c r="C870" s="1"/>
      <c r="D870" s="1"/>
      <c r="E870" s="1"/>
      <c r="F870" s="1"/>
      <c r="G870" s="1"/>
      <c r="H870" s="1"/>
      <c r="I870" s="1"/>
      <c r="J870" s="1"/>
      <c r="K870" s="2"/>
      <c r="L870" s="2"/>
      <c r="M870" s="2"/>
      <c r="N870" s="3"/>
      <c r="O870" s="2"/>
      <c r="P870" s="1"/>
      <c r="Q870" s="1"/>
      <c r="R870" s="1"/>
      <c r="S870" s="1"/>
      <c r="T870" s="1"/>
      <c r="U870" s="1"/>
      <c r="V870" s="1"/>
      <c r="W870" s="1"/>
      <c r="X870" s="1"/>
      <c r="Y870" s="1"/>
      <c r="Z870" s="1"/>
    </row>
    <row r="871">
      <c r="A871" s="1"/>
      <c r="B871" s="1"/>
      <c r="C871" s="1"/>
      <c r="D871" s="1"/>
      <c r="E871" s="1"/>
      <c r="F871" s="1"/>
      <c r="G871" s="1"/>
      <c r="H871" s="1"/>
      <c r="I871" s="1"/>
      <c r="J871" s="1"/>
      <c r="K871" s="2"/>
      <c r="L871" s="2"/>
      <c r="M871" s="2"/>
      <c r="N871" s="3"/>
      <c r="O871" s="2"/>
      <c r="P871" s="1"/>
      <c r="Q871" s="1"/>
      <c r="R871" s="1"/>
      <c r="S871" s="1"/>
      <c r="T871" s="1"/>
      <c r="U871" s="1"/>
      <c r="V871" s="1"/>
      <c r="W871" s="1"/>
      <c r="X871" s="1"/>
      <c r="Y871" s="1"/>
      <c r="Z871" s="1"/>
    </row>
    <row r="872">
      <c r="A872" s="1"/>
      <c r="B872" s="1"/>
      <c r="C872" s="1"/>
      <c r="D872" s="1"/>
      <c r="E872" s="1"/>
      <c r="F872" s="1"/>
      <c r="G872" s="1"/>
      <c r="H872" s="1"/>
      <c r="I872" s="1"/>
      <c r="J872" s="1"/>
      <c r="K872" s="2"/>
      <c r="L872" s="2"/>
      <c r="M872" s="2"/>
      <c r="N872" s="3"/>
      <c r="O872" s="2"/>
      <c r="P872" s="1"/>
      <c r="Q872" s="1"/>
      <c r="R872" s="1"/>
      <c r="S872" s="1"/>
      <c r="T872" s="1"/>
      <c r="U872" s="1"/>
      <c r="V872" s="1"/>
      <c r="W872" s="1"/>
      <c r="X872" s="1"/>
      <c r="Y872" s="1"/>
      <c r="Z872" s="1"/>
    </row>
    <row r="873">
      <c r="A873" s="1"/>
      <c r="B873" s="1"/>
      <c r="C873" s="1"/>
      <c r="D873" s="1"/>
      <c r="E873" s="1"/>
      <c r="F873" s="1"/>
      <c r="G873" s="1"/>
      <c r="H873" s="1"/>
      <c r="I873" s="1"/>
      <c r="J873" s="1"/>
      <c r="K873" s="2"/>
      <c r="L873" s="2"/>
      <c r="M873" s="2"/>
      <c r="N873" s="3"/>
      <c r="O873" s="2"/>
      <c r="P873" s="1"/>
      <c r="Q873" s="1"/>
      <c r="R873" s="1"/>
      <c r="S873" s="1"/>
      <c r="T873" s="1"/>
      <c r="U873" s="1"/>
      <c r="V873" s="1"/>
      <c r="W873" s="1"/>
      <c r="X873" s="1"/>
      <c r="Y873" s="1"/>
      <c r="Z873" s="1"/>
    </row>
    <row r="874">
      <c r="A874" s="1"/>
      <c r="B874" s="1"/>
      <c r="C874" s="1"/>
      <c r="D874" s="1"/>
      <c r="E874" s="1"/>
      <c r="F874" s="1"/>
      <c r="G874" s="1"/>
      <c r="H874" s="1"/>
      <c r="I874" s="1"/>
      <c r="J874" s="1"/>
      <c r="K874" s="2"/>
      <c r="L874" s="2"/>
      <c r="M874" s="2"/>
      <c r="N874" s="3"/>
      <c r="O874" s="2"/>
      <c r="P874" s="1"/>
      <c r="Q874" s="1"/>
      <c r="R874" s="1"/>
      <c r="S874" s="1"/>
      <c r="T874" s="1"/>
      <c r="U874" s="1"/>
      <c r="V874" s="1"/>
      <c r="W874" s="1"/>
      <c r="X874" s="1"/>
      <c r="Y874" s="1"/>
      <c r="Z874" s="1"/>
    </row>
    <row r="875">
      <c r="A875" s="1"/>
      <c r="B875" s="1"/>
      <c r="C875" s="1"/>
      <c r="D875" s="1"/>
      <c r="E875" s="1"/>
      <c r="F875" s="1"/>
      <c r="G875" s="1"/>
      <c r="H875" s="1"/>
      <c r="I875" s="1"/>
      <c r="J875" s="1"/>
      <c r="K875" s="2"/>
      <c r="L875" s="2"/>
      <c r="M875" s="2"/>
      <c r="N875" s="3"/>
      <c r="O875" s="2"/>
      <c r="P875" s="1"/>
      <c r="Q875" s="1"/>
      <c r="R875" s="1"/>
      <c r="S875" s="1"/>
      <c r="T875" s="1"/>
      <c r="U875" s="1"/>
      <c r="V875" s="1"/>
      <c r="W875" s="1"/>
      <c r="X875" s="1"/>
      <c r="Y875" s="1"/>
      <c r="Z875" s="1"/>
    </row>
    <row r="876">
      <c r="A876" s="1"/>
      <c r="B876" s="1"/>
      <c r="C876" s="1"/>
      <c r="D876" s="1"/>
      <c r="E876" s="1"/>
      <c r="F876" s="1"/>
      <c r="G876" s="1"/>
      <c r="H876" s="1"/>
      <c r="I876" s="1"/>
      <c r="J876" s="1"/>
      <c r="K876" s="2"/>
      <c r="L876" s="2"/>
      <c r="M876" s="2"/>
      <c r="N876" s="3"/>
      <c r="O876" s="2"/>
      <c r="P876" s="1"/>
      <c r="Q876" s="1"/>
      <c r="R876" s="1"/>
      <c r="S876" s="1"/>
      <c r="T876" s="1"/>
      <c r="U876" s="1"/>
      <c r="V876" s="1"/>
      <c r="W876" s="1"/>
      <c r="X876" s="1"/>
      <c r="Y876" s="1"/>
      <c r="Z876" s="1"/>
    </row>
    <row r="877">
      <c r="A877" s="1"/>
      <c r="B877" s="1"/>
      <c r="C877" s="1"/>
      <c r="D877" s="1"/>
      <c r="E877" s="1"/>
      <c r="F877" s="1"/>
      <c r="G877" s="1"/>
      <c r="H877" s="1"/>
      <c r="I877" s="1"/>
      <c r="J877" s="1"/>
      <c r="K877" s="2"/>
      <c r="L877" s="2"/>
      <c r="M877" s="2"/>
      <c r="N877" s="3"/>
      <c r="O877" s="2"/>
      <c r="P877" s="1"/>
      <c r="Q877" s="1"/>
      <c r="R877" s="1"/>
      <c r="S877" s="1"/>
      <c r="T877" s="1"/>
      <c r="U877" s="1"/>
      <c r="V877" s="1"/>
      <c r="W877" s="1"/>
      <c r="X877" s="1"/>
      <c r="Y877" s="1"/>
      <c r="Z877" s="1"/>
    </row>
    <row r="878">
      <c r="A878" s="1"/>
      <c r="B878" s="1"/>
      <c r="C878" s="1"/>
      <c r="D878" s="1"/>
      <c r="E878" s="1"/>
      <c r="F878" s="1"/>
      <c r="G878" s="1"/>
      <c r="H878" s="1"/>
      <c r="I878" s="1"/>
      <c r="J878" s="1"/>
      <c r="K878" s="2"/>
      <c r="L878" s="2"/>
      <c r="M878" s="2"/>
      <c r="N878" s="3"/>
      <c r="O878" s="2"/>
      <c r="P878" s="1"/>
      <c r="Q878" s="1"/>
      <c r="R878" s="1"/>
      <c r="S878" s="1"/>
      <c r="T878" s="1"/>
      <c r="U878" s="1"/>
      <c r="V878" s="1"/>
      <c r="W878" s="1"/>
      <c r="X878" s="1"/>
      <c r="Y878" s="1"/>
      <c r="Z878" s="1"/>
    </row>
    <row r="879">
      <c r="A879" s="1"/>
      <c r="B879" s="1"/>
      <c r="C879" s="1"/>
      <c r="D879" s="1"/>
      <c r="E879" s="1"/>
      <c r="F879" s="1"/>
      <c r="G879" s="1"/>
      <c r="H879" s="1"/>
      <c r="I879" s="1"/>
      <c r="J879" s="1"/>
      <c r="K879" s="2"/>
      <c r="L879" s="2"/>
      <c r="M879" s="2"/>
      <c r="N879" s="3"/>
      <c r="O879" s="2"/>
      <c r="P879" s="1"/>
      <c r="Q879" s="1"/>
      <c r="R879" s="1"/>
      <c r="S879" s="1"/>
      <c r="T879" s="1"/>
      <c r="U879" s="1"/>
      <c r="V879" s="1"/>
      <c r="W879" s="1"/>
      <c r="X879" s="1"/>
      <c r="Y879" s="1"/>
      <c r="Z879" s="1"/>
    </row>
    <row r="880">
      <c r="A880" s="1"/>
      <c r="B880" s="1"/>
      <c r="C880" s="1"/>
      <c r="D880" s="1"/>
      <c r="E880" s="1"/>
      <c r="F880" s="1"/>
      <c r="G880" s="1"/>
      <c r="H880" s="1"/>
      <c r="I880" s="1"/>
      <c r="J880" s="1"/>
      <c r="K880" s="2"/>
      <c r="L880" s="2"/>
      <c r="M880" s="2"/>
      <c r="N880" s="3"/>
      <c r="O880" s="2"/>
      <c r="P880" s="1"/>
      <c r="Q880" s="1"/>
      <c r="R880" s="1"/>
      <c r="S880" s="1"/>
      <c r="T880" s="1"/>
      <c r="U880" s="1"/>
      <c r="V880" s="1"/>
      <c r="W880" s="1"/>
      <c r="X880" s="1"/>
      <c r="Y880" s="1"/>
      <c r="Z880" s="1"/>
    </row>
    <row r="881">
      <c r="A881" s="1"/>
      <c r="B881" s="1"/>
      <c r="C881" s="1"/>
      <c r="D881" s="1"/>
      <c r="E881" s="1"/>
      <c r="F881" s="1"/>
      <c r="G881" s="1"/>
      <c r="H881" s="1"/>
      <c r="I881" s="1"/>
      <c r="J881" s="1"/>
      <c r="K881" s="2"/>
      <c r="L881" s="2"/>
      <c r="M881" s="2"/>
      <c r="N881" s="3"/>
      <c r="O881" s="2"/>
      <c r="P881" s="1"/>
      <c r="Q881" s="1"/>
      <c r="R881" s="1"/>
      <c r="S881" s="1"/>
      <c r="T881" s="1"/>
      <c r="U881" s="1"/>
      <c r="V881" s="1"/>
      <c r="W881" s="1"/>
      <c r="X881" s="1"/>
      <c r="Y881" s="1"/>
      <c r="Z881" s="1"/>
    </row>
    <row r="882">
      <c r="A882" s="1"/>
      <c r="B882" s="1"/>
      <c r="C882" s="1"/>
      <c r="D882" s="1"/>
      <c r="E882" s="1"/>
      <c r="F882" s="1"/>
      <c r="G882" s="1"/>
      <c r="H882" s="1"/>
      <c r="I882" s="1"/>
      <c r="J882" s="1"/>
      <c r="K882" s="2"/>
      <c r="L882" s="2"/>
      <c r="M882" s="2"/>
      <c r="N882" s="3"/>
      <c r="O882" s="2"/>
      <c r="P882" s="1"/>
      <c r="Q882" s="1"/>
      <c r="R882" s="1"/>
      <c r="S882" s="1"/>
      <c r="T882" s="1"/>
      <c r="U882" s="1"/>
      <c r="V882" s="1"/>
      <c r="W882" s="1"/>
      <c r="X882" s="1"/>
      <c r="Y882" s="1"/>
      <c r="Z882" s="1"/>
    </row>
    <row r="883">
      <c r="A883" s="1"/>
      <c r="B883" s="1"/>
      <c r="C883" s="1"/>
      <c r="D883" s="1"/>
      <c r="E883" s="1"/>
      <c r="F883" s="1"/>
      <c r="G883" s="1"/>
      <c r="H883" s="1"/>
      <c r="I883" s="1"/>
      <c r="J883" s="1"/>
      <c r="K883" s="2"/>
      <c r="L883" s="2"/>
      <c r="M883" s="2"/>
      <c r="N883" s="3"/>
      <c r="O883" s="2"/>
      <c r="P883" s="1"/>
      <c r="Q883" s="1"/>
      <c r="R883" s="1"/>
      <c r="S883" s="1"/>
      <c r="T883" s="1"/>
      <c r="U883" s="1"/>
      <c r="V883" s="1"/>
      <c r="W883" s="1"/>
      <c r="X883" s="1"/>
      <c r="Y883" s="1"/>
      <c r="Z883" s="1"/>
    </row>
    <row r="884">
      <c r="A884" s="1"/>
      <c r="B884" s="1"/>
      <c r="C884" s="1"/>
      <c r="D884" s="1"/>
      <c r="E884" s="1"/>
      <c r="F884" s="1"/>
      <c r="G884" s="1"/>
      <c r="H884" s="1"/>
      <c r="I884" s="1"/>
      <c r="J884" s="1"/>
      <c r="K884" s="2"/>
      <c r="L884" s="2"/>
      <c r="M884" s="2"/>
      <c r="N884" s="3"/>
      <c r="O884" s="2"/>
      <c r="P884" s="1"/>
      <c r="Q884" s="1"/>
      <c r="R884" s="1"/>
      <c r="S884" s="1"/>
      <c r="T884" s="1"/>
      <c r="U884" s="1"/>
      <c r="V884" s="1"/>
      <c r="W884" s="1"/>
      <c r="X884" s="1"/>
      <c r="Y884" s="1"/>
      <c r="Z884" s="1"/>
    </row>
    <row r="885">
      <c r="A885" s="1"/>
      <c r="B885" s="1"/>
      <c r="C885" s="1"/>
      <c r="D885" s="1"/>
      <c r="E885" s="1"/>
      <c r="F885" s="1"/>
      <c r="G885" s="1"/>
      <c r="H885" s="1"/>
      <c r="I885" s="1"/>
      <c r="J885" s="1"/>
      <c r="K885" s="2"/>
      <c r="L885" s="2"/>
      <c r="M885" s="2"/>
      <c r="N885" s="3"/>
      <c r="O885" s="2"/>
      <c r="P885" s="1"/>
      <c r="Q885" s="1"/>
      <c r="R885" s="1"/>
      <c r="S885" s="1"/>
      <c r="T885" s="1"/>
      <c r="U885" s="1"/>
      <c r="V885" s="1"/>
      <c r="W885" s="1"/>
      <c r="X885" s="1"/>
      <c r="Y885" s="1"/>
      <c r="Z885" s="1"/>
    </row>
    <row r="886">
      <c r="A886" s="1"/>
      <c r="B886" s="1"/>
      <c r="C886" s="1"/>
      <c r="D886" s="1"/>
      <c r="E886" s="1"/>
      <c r="F886" s="1"/>
      <c r="G886" s="1"/>
      <c r="H886" s="1"/>
      <c r="I886" s="1"/>
      <c r="J886" s="1"/>
      <c r="K886" s="2"/>
      <c r="L886" s="2"/>
      <c r="M886" s="2"/>
      <c r="N886" s="3"/>
      <c r="O886" s="2"/>
      <c r="P886" s="1"/>
      <c r="Q886" s="1"/>
      <c r="R886" s="1"/>
      <c r="S886" s="1"/>
      <c r="T886" s="1"/>
      <c r="U886" s="1"/>
      <c r="V886" s="1"/>
      <c r="W886" s="1"/>
      <c r="X886" s="1"/>
      <c r="Y886" s="1"/>
      <c r="Z886" s="1"/>
    </row>
    <row r="887">
      <c r="A887" s="1"/>
      <c r="B887" s="1"/>
      <c r="C887" s="1"/>
      <c r="D887" s="1"/>
      <c r="E887" s="1"/>
      <c r="F887" s="1"/>
      <c r="G887" s="1"/>
      <c r="H887" s="1"/>
      <c r="I887" s="1"/>
      <c r="J887" s="1"/>
      <c r="K887" s="2"/>
      <c r="L887" s="2"/>
      <c r="M887" s="2"/>
      <c r="N887" s="3"/>
      <c r="O887" s="2"/>
      <c r="P887" s="1"/>
      <c r="Q887" s="1"/>
      <c r="R887" s="1"/>
      <c r="S887" s="1"/>
      <c r="T887" s="1"/>
      <c r="U887" s="1"/>
      <c r="V887" s="1"/>
      <c r="W887" s="1"/>
      <c r="X887" s="1"/>
      <c r="Y887" s="1"/>
      <c r="Z887" s="1"/>
    </row>
    <row r="888">
      <c r="A888" s="1"/>
      <c r="B888" s="1"/>
      <c r="C888" s="1"/>
      <c r="D888" s="1"/>
      <c r="E888" s="1"/>
      <c r="F888" s="1"/>
      <c r="G888" s="1"/>
      <c r="H888" s="1"/>
      <c r="I888" s="1"/>
      <c r="J888" s="1"/>
      <c r="K888" s="2"/>
      <c r="L888" s="2"/>
      <c r="M888" s="2"/>
      <c r="N888" s="3"/>
      <c r="O888" s="2"/>
      <c r="P888" s="1"/>
      <c r="Q888" s="1"/>
      <c r="R888" s="1"/>
      <c r="S888" s="1"/>
      <c r="T888" s="1"/>
      <c r="U888" s="1"/>
      <c r="V888" s="1"/>
      <c r="W888" s="1"/>
      <c r="X888" s="1"/>
      <c r="Y888" s="1"/>
      <c r="Z888" s="1"/>
    </row>
    <row r="889">
      <c r="A889" s="1"/>
      <c r="B889" s="1"/>
      <c r="C889" s="1"/>
      <c r="D889" s="1"/>
      <c r="E889" s="1"/>
      <c r="F889" s="1"/>
      <c r="G889" s="1"/>
      <c r="H889" s="1"/>
      <c r="I889" s="1"/>
      <c r="J889" s="1"/>
      <c r="K889" s="2"/>
      <c r="L889" s="2"/>
      <c r="M889" s="2"/>
      <c r="N889" s="3"/>
      <c r="O889" s="2"/>
      <c r="P889" s="1"/>
      <c r="Q889" s="1"/>
      <c r="R889" s="1"/>
      <c r="S889" s="1"/>
      <c r="T889" s="1"/>
      <c r="U889" s="1"/>
      <c r="V889" s="1"/>
      <c r="W889" s="1"/>
      <c r="X889" s="1"/>
      <c r="Y889" s="1"/>
      <c r="Z889" s="1"/>
    </row>
    <row r="890">
      <c r="A890" s="1"/>
      <c r="B890" s="1"/>
      <c r="C890" s="1"/>
      <c r="D890" s="1"/>
      <c r="E890" s="1"/>
      <c r="F890" s="1"/>
      <c r="G890" s="1"/>
      <c r="H890" s="1"/>
      <c r="I890" s="1"/>
      <c r="J890" s="1"/>
      <c r="K890" s="2"/>
      <c r="L890" s="2"/>
      <c r="M890" s="2"/>
      <c r="N890" s="3"/>
      <c r="O890" s="2"/>
      <c r="P890" s="1"/>
      <c r="Q890" s="1"/>
      <c r="R890" s="1"/>
      <c r="S890" s="1"/>
      <c r="T890" s="1"/>
      <c r="U890" s="1"/>
      <c r="V890" s="1"/>
      <c r="W890" s="1"/>
      <c r="X890" s="1"/>
      <c r="Y890" s="1"/>
      <c r="Z890" s="1"/>
    </row>
    <row r="891">
      <c r="A891" s="1"/>
      <c r="B891" s="1"/>
      <c r="C891" s="1"/>
      <c r="D891" s="1"/>
      <c r="E891" s="1"/>
      <c r="F891" s="1"/>
      <c r="G891" s="1"/>
      <c r="H891" s="1"/>
      <c r="I891" s="1"/>
      <c r="J891" s="1"/>
      <c r="K891" s="2"/>
      <c r="L891" s="2"/>
      <c r="M891" s="2"/>
      <c r="N891" s="3"/>
      <c r="O891" s="2"/>
      <c r="P891" s="1"/>
      <c r="Q891" s="1"/>
      <c r="R891" s="1"/>
      <c r="S891" s="1"/>
      <c r="T891" s="1"/>
      <c r="U891" s="1"/>
      <c r="V891" s="1"/>
      <c r="W891" s="1"/>
      <c r="X891" s="1"/>
      <c r="Y891" s="1"/>
      <c r="Z891" s="1"/>
    </row>
    <row r="892">
      <c r="A892" s="1"/>
      <c r="B892" s="1"/>
      <c r="C892" s="1"/>
      <c r="D892" s="1"/>
      <c r="E892" s="1"/>
      <c r="F892" s="1"/>
      <c r="G892" s="1"/>
      <c r="H892" s="1"/>
      <c r="I892" s="1"/>
      <c r="J892" s="1"/>
      <c r="K892" s="2"/>
      <c r="L892" s="2"/>
      <c r="M892" s="2"/>
      <c r="N892" s="3"/>
      <c r="O892" s="2"/>
      <c r="P892" s="1"/>
      <c r="Q892" s="1"/>
      <c r="R892" s="1"/>
      <c r="S892" s="1"/>
      <c r="T892" s="1"/>
      <c r="U892" s="1"/>
      <c r="V892" s="1"/>
      <c r="W892" s="1"/>
      <c r="X892" s="1"/>
      <c r="Y892" s="1"/>
      <c r="Z892" s="1"/>
    </row>
    <row r="893">
      <c r="A893" s="1"/>
      <c r="B893" s="1"/>
      <c r="C893" s="1"/>
      <c r="D893" s="1"/>
      <c r="E893" s="1"/>
      <c r="F893" s="1"/>
      <c r="G893" s="1"/>
      <c r="H893" s="1"/>
      <c r="I893" s="1"/>
      <c r="J893" s="1"/>
      <c r="K893" s="2"/>
      <c r="L893" s="2"/>
      <c r="M893" s="2"/>
      <c r="N893" s="3"/>
      <c r="O893" s="2"/>
      <c r="P893" s="1"/>
      <c r="Q893" s="1"/>
      <c r="R893" s="1"/>
      <c r="S893" s="1"/>
      <c r="T893" s="1"/>
      <c r="U893" s="1"/>
      <c r="V893" s="1"/>
      <c r="W893" s="1"/>
      <c r="X893" s="1"/>
      <c r="Y893" s="1"/>
      <c r="Z893" s="1"/>
    </row>
    <row r="894">
      <c r="A894" s="1"/>
      <c r="B894" s="1"/>
      <c r="C894" s="1"/>
      <c r="D894" s="1"/>
      <c r="E894" s="1"/>
      <c r="F894" s="1"/>
      <c r="G894" s="1"/>
      <c r="H894" s="1"/>
      <c r="I894" s="1"/>
      <c r="J894" s="1"/>
      <c r="K894" s="2"/>
      <c r="L894" s="2"/>
      <c r="M894" s="2"/>
      <c r="N894" s="3"/>
      <c r="O894" s="2"/>
      <c r="P894" s="1"/>
      <c r="Q894" s="1"/>
      <c r="R894" s="1"/>
      <c r="S894" s="1"/>
      <c r="T894" s="1"/>
      <c r="U894" s="1"/>
      <c r="V894" s="1"/>
      <c r="W894" s="1"/>
      <c r="X894" s="1"/>
      <c r="Y894" s="1"/>
      <c r="Z894" s="1"/>
    </row>
    <row r="895">
      <c r="A895" s="1"/>
      <c r="B895" s="1"/>
      <c r="C895" s="1"/>
      <c r="D895" s="1"/>
      <c r="E895" s="1"/>
      <c r="F895" s="1"/>
      <c r="G895" s="1"/>
      <c r="H895" s="1"/>
      <c r="I895" s="1"/>
      <c r="J895" s="1"/>
      <c r="K895" s="2"/>
      <c r="L895" s="2"/>
      <c r="M895" s="2"/>
      <c r="N895" s="3"/>
      <c r="O895" s="2"/>
      <c r="P895" s="1"/>
      <c r="Q895" s="1"/>
      <c r="R895" s="1"/>
      <c r="S895" s="1"/>
      <c r="T895" s="1"/>
      <c r="U895" s="1"/>
      <c r="V895" s="1"/>
      <c r="W895" s="1"/>
      <c r="X895" s="1"/>
      <c r="Y895" s="1"/>
      <c r="Z895" s="1"/>
    </row>
    <row r="896">
      <c r="A896" s="1"/>
      <c r="B896" s="1"/>
      <c r="C896" s="1"/>
      <c r="D896" s="1"/>
      <c r="E896" s="1"/>
      <c r="F896" s="1"/>
      <c r="G896" s="1"/>
      <c r="H896" s="1"/>
      <c r="I896" s="1"/>
      <c r="J896" s="1"/>
      <c r="K896" s="2"/>
      <c r="L896" s="2"/>
      <c r="M896" s="2"/>
      <c r="N896" s="3"/>
      <c r="O896" s="2"/>
      <c r="P896" s="1"/>
      <c r="Q896" s="1"/>
      <c r="R896" s="1"/>
      <c r="S896" s="1"/>
      <c r="T896" s="1"/>
      <c r="U896" s="1"/>
      <c r="V896" s="1"/>
      <c r="W896" s="1"/>
      <c r="X896" s="1"/>
      <c r="Y896" s="1"/>
      <c r="Z896" s="1"/>
    </row>
    <row r="897">
      <c r="A897" s="1"/>
      <c r="B897" s="1"/>
      <c r="C897" s="1"/>
      <c r="D897" s="1"/>
      <c r="E897" s="1"/>
      <c r="F897" s="1"/>
      <c r="G897" s="1"/>
      <c r="H897" s="1"/>
      <c r="I897" s="1"/>
      <c r="J897" s="1"/>
      <c r="K897" s="2"/>
      <c r="L897" s="2"/>
      <c r="M897" s="2"/>
      <c r="N897" s="3"/>
      <c r="O897" s="2"/>
      <c r="P897" s="1"/>
      <c r="Q897" s="1"/>
      <c r="R897" s="1"/>
      <c r="S897" s="1"/>
      <c r="T897" s="1"/>
      <c r="U897" s="1"/>
      <c r="V897" s="1"/>
      <c r="W897" s="1"/>
      <c r="X897" s="1"/>
      <c r="Y897" s="1"/>
      <c r="Z897" s="1"/>
    </row>
    <row r="898">
      <c r="A898" s="1"/>
      <c r="B898" s="1"/>
      <c r="C898" s="1"/>
      <c r="D898" s="1"/>
      <c r="E898" s="1"/>
      <c r="F898" s="1"/>
      <c r="G898" s="1"/>
      <c r="H898" s="1"/>
      <c r="I898" s="1"/>
      <c r="J898" s="1"/>
      <c r="K898" s="2"/>
      <c r="L898" s="2"/>
      <c r="M898" s="2"/>
      <c r="N898" s="3"/>
      <c r="O898" s="2"/>
      <c r="P898" s="1"/>
      <c r="Q898" s="1"/>
      <c r="R898" s="1"/>
      <c r="S898" s="1"/>
      <c r="T898" s="1"/>
      <c r="U898" s="1"/>
      <c r="V898" s="1"/>
      <c r="W898" s="1"/>
      <c r="X898" s="1"/>
      <c r="Y898" s="1"/>
      <c r="Z898" s="1"/>
    </row>
    <row r="899">
      <c r="A899" s="1"/>
      <c r="B899" s="1"/>
      <c r="C899" s="1"/>
      <c r="D899" s="1"/>
      <c r="E899" s="1"/>
      <c r="F899" s="1"/>
      <c r="G899" s="1"/>
      <c r="H899" s="1"/>
      <c r="I899" s="1"/>
      <c r="J899" s="1"/>
      <c r="K899" s="2"/>
      <c r="L899" s="2"/>
      <c r="M899" s="2"/>
      <c r="N899" s="3"/>
      <c r="O899" s="2"/>
      <c r="P899" s="1"/>
      <c r="Q899" s="1"/>
      <c r="R899" s="1"/>
      <c r="S899" s="1"/>
      <c r="T899" s="1"/>
      <c r="U899" s="1"/>
      <c r="V899" s="1"/>
      <c r="W899" s="1"/>
      <c r="X899" s="1"/>
      <c r="Y899" s="1"/>
      <c r="Z899" s="1"/>
    </row>
    <row r="900">
      <c r="A900" s="1"/>
      <c r="B900" s="1"/>
      <c r="C900" s="1"/>
      <c r="D900" s="1"/>
      <c r="E900" s="1"/>
      <c r="F900" s="1"/>
      <c r="G900" s="1"/>
      <c r="H900" s="1"/>
      <c r="I900" s="1"/>
      <c r="J900" s="1"/>
      <c r="K900" s="2"/>
      <c r="L900" s="2"/>
      <c r="M900" s="2"/>
      <c r="N900" s="3"/>
      <c r="O900" s="2"/>
      <c r="P900" s="1"/>
      <c r="Q900" s="1"/>
      <c r="R900" s="1"/>
      <c r="S900" s="1"/>
      <c r="T900" s="1"/>
      <c r="U900" s="1"/>
      <c r="V900" s="1"/>
      <c r="W900" s="1"/>
      <c r="X900" s="1"/>
      <c r="Y900" s="1"/>
      <c r="Z900" s="1"/>
    </row>
    <row r="901">
      <c r="A901" s="1"/>
      <c r="B901" s="1"/>
      <c r="C901" s="1"/>
      <c r="D901" s="1"/>
      <c r="E901" s="1"/>
      <c r="F901" s="1"/>
      <c r="G901" s="1"/>
      <c r="H901" s="1"/>
      <c r="I901" s="1"/>
      <c r="J901" s="1"/>
      <c r="K901" s="2"/>
      <c r="L901" s="2"/>
      <c r="M901" s="2"/>
      <c r="N901" s="3"/>
      <c r="O901" s="2"/>
      <c r="P901" s="1"/>
      <c r="Q901" s="1"/>
      <c r="R901" s="1"/>
      <c r="S901" s="1"/>
      <c r="T901" s="1"/>
      <c r="U901" s="1"/>
      <c r="V901" s="1"/>
      <c r="W901" s="1"/>
      <c r="X901" s="1"/>
      <c r="Y901" s="1"/>
      <c r="Z901" s="1"/>
    </row>
    <row r="902">
      <c r="A902" s="1"/>
      <c r="B902" s="1"/>
      <c r="C902" s="1"/>
      <c r="D902" s="1"/>
      <c r="E902" s="1"/>
      <c r="F902" s="1"/>
      <c r="G902" s="1"/>
      <c r="H902" s="1"/>
      <c r="I902" s="1"/>
      <c r="J902" s="1"/>
      <c r="K902" s="2"/>
      <c r="L902" s="2"/>
      <c r="M902" s="2"/>
      <c r="N902" s="3"/>
      <c r="O902" s="2"/>
      <c r="P902" s="1"/>
      <c r="Q902" s="1"/>
      <c r="R902" s="1"/>
      <c r="S902" s="1"/>
      <c r="T902" s="1"/>
      <c r="U902" s="1"/>
      <c r="V902" s="1"/>
      <c r="W902" s="1"/>
      <c r="X902" s="1"/>
      <c r="Y902" s="1"/>
      <c r="Z902" s="1"/>
    </row>
    <row r="903">
      <c r="A903" s="1"/>
      <c r="B903" s="1"/>
      <c r="C903" s="1"/>
      <c r="D903" s="1"/>
      <c r="E903" s="1"/>
      <c r="F903" s="1"/>
      <c r="G903" s="1"/>
      <c r="H903" s="1"/>
      <c r="I903" s="1"/>
      <c r="J903" s="1"/>
      <c r="K903" s="2"/>
      <c r="L903" s="2"/>
      <c r="M903" s="2"/>
      <c r="N903" s="3"/>
      <c r="O903" s="2"/>
      <c r="P903" s="1"/>
      <c r="Q903" s="1"/>
      <c r="R903" s="1"/>
      <c r="S903" s="1"/>
      <c r="T903" s="1"/>
      <c r="U903" s="1"/>
      <c r="V903" s="1"/>
      <c r="W903" s="1"/>
      <c r="X903" s="1"/>
      <c r="Y903" s="1"/>
      <c r="Z903" s="1"/>
    </row>
    <row r="904">
      <c r="A904" s="1"/>
      <c r="B904" s="1"/>
      <c r="C904" s="1"/>
      <c r="D904" s="1"/>
      <c r="E904" s="1"/>
      <c r="F904" s="1"/>
      <c r="G904" s="1"/>
      <c r="H904" s="1"/>
      <c r="I904" s="1"/>
      <c r="J904" s="1"/>
      <c r="K904" s="2"/>
      <c r="L904" s="2"/>
      <c r="M904" s="2"/>
      <c r="N904" s="3"/>
      <c r="O904" s="2"/>
      <c r="P904" s="1"/>
      <c r="Q904" s="1"/>
      <c r="R904" s="1"/>
      <c r="S904" s="1"/>
      <c r="T904" s="1"/>
      <c r="U904" s="1"/>
      <c r="V904" s="1"/>
      <c r="W904" s="1"/>
      <c r="X904" s="1"/>
      <c r="Y904" s="1"/>
      <c r="Z904" s="1"/>
    </row>
    <row r="905">
      <c r="A905" s="1"/>
      <c r="B905" s="1"/>
      <c r="C905" s="1"/>
      <c r="D905" s="1"/>
      <c r="E905" s="1"/>
      <c r="F905" s="1"/>
      <c r="G905" s="1"/>
      <c r="H905" s="1"/>
      <c r="I905" s="1"/>
      <c r="J905" s="1"/>
      <c r="K905" s="2"/>
      <c r="L905" s="2"/>
      <c r="M905" s="2"/>
      <c r="N905" s="3"/>
      <c r="O905" s="2"/>
      <c r="P905" s="1"/>
      <c r="Q905" s="1"/>
      <c r="R905" s="1"/>
      <c r="S905" s="1"/>
      <c r="T905" s="1"/>
      <c r="U905" s="1"/>
      <c r="V905" s="1"/>
      <c r="W905" s="1"/>
      <c r="X905" s="1"/>
      <c r="Y905" s="1"/>
      <c r="Z905" s="1"/>
    </row>
    <row r="906">
      <c r="A906" s="1"/>
      <c r="B906" s="1"/>
      <c r="C906" s="1"/>
      <c r="D906" s="1"/>
      <c r="E906" s="1"/>
      <c r="F906" s="1"/>
      <c r="G906" s="1"/>
      <c r="H906" s="1"/>
      <c r="I906" s="1"/>
      <c r="J906" s="1"/>
      <c r="K906" s="2"/>
      <c r="L906" s="2"/>
      <c r="M906" s="2"/>
      <c r="N906" s="3"/>
      <c r="O906" s="2"/>
      <c r="P906" s="1"/>
      <c r="Q906" s="1"/>
      <c r="R906" s="1"/>
      <c r="S906" s="1"/>
      <c r="T906" s="1"/>
      <c r="U906" s="1"/>
      <c r="V906" s="1"/>
      <c r="W906" s="1"/>
      <c r="X906" s="1"/>
      <c r="Y906" s="1"/>
      <c r="Z906" s="1"/>
    </row>
    <row r="907">
      <c r="A907" s="1"/>
      <c r="B907" s="1"/>
      <c r="C907" s="1"/>
      <c r="D907" s="1"/>
      <c r="E907" s="1"/>
      <c r="F907" s="1"/>
      <c r="G907" s="1"/>
      <c r="H907" s="1"/>
      <c r="I907" s="1"/>
      <c r="J907" s="1"/>
      <c r="K907" s="2"/>
      <c r="L907" s="2"/>
      <c r="M907" s="2"/>
      <c r="N907" s="3"/>
      <c r="O907" s="2"/>
      <c r="P907" s="1"/>
      <c r="Q907" s="1"/>
      <c r="R907" s="1"/>
      <c r="S907" s="1"/>
      <c r="T907" s="1"/>
      <c r="U907" s="1"/>
      <c r="V907" s="1"/>
      <c r="W907" s="1"/>
      <c r="X907" s="1"/>
      <c r="Y907" s="1"/>
      <c r="Z907" s="1"/>
    </row>
    <row r="908">
      <c r="A908" s="1"/>
      <c r="B908" s="1"/>
      <c r="C908" s="1"/>
      <c r="D908" s="1"/>
      <c r="E908" s="1"/>
      <c r="F908" s="1"/>
      <c r="G908" s="1"/>
      <c r="H908" s="1"/>
      <c r="I908" s="1"/>
      <c r="J908" s="1"/>
      <c r="K908" s="2"/>
      <c r="L908" s="2"/>
      <c r="M908" s="2"/>
      <c r="N908" s="3"/>
      <c r="O908" s="2"/>
      <c r="P908" s="1"/>
      <c r="Q908" s="1"/>
      <c r="R908" s="1"/>
      <c r="S908" s="1"/>
      <c r="T908" s="1"/>
      <c r="U908" s="1"/>
      <c r="V908" s="1"/>
      <c r="W908" s="1"/>
      <c r="X908" s="1"/>
      <c r="Y908" s="1"/>
      <c r="Z908" s="1"/>
    </row>
    <row r="909">
      <c r="A909" s="1"/>
      <c r="B909" s="1"/>
      <c r="C909" s="1"/>
      <c r="D909" s="1"/>
      <c r="E909" s="1"/>
      <c r="F909" s="1"/>
      <c r="G909" s="1"/>
      <c r="H909" s="1"/>
      <c r="I909" s="1"/>
      <c r="J909" s="1"/>
      <c r="K909" s="2"/>
      <c r="L909" s="2"/>
      <c r="M909" s="2"/>
      <c r="N909" s="3"/>
      <c r="O909" s="2"/>
      <c r="P909" s="1"/>
      <c r="Q909" s="1"/>
      <c r="R909" s="1"/>
      <c r="S909" s="1"/>
      <c r="T909" s="1"/>
      <c r="U909" s="1"/>
      <c r="V909" s="1"/>
      <c r="W909" s="1"/>
      <c r="X909" s="1"/>
      <c r="Y909" s="1"/>
      <c r="Z909" s="1"/>
    </row>
    <row r="910">
      <c r="A910" s="1"/>
      <c r="B910" s="1"/>
      <c r="C910" s="1"/>
      <c r="D910" s="1"/>
      <c r="E910" s="1"/>
      <c r="F910" s="1"/>
      <c r="G910" s="1"/>
      <c r="H910" s="1"/>
      <c r="I910" s="1"/>
      <c r="J910" s="1"/>
      <c r="K910" s="2"/>
      <c r="L910" s="2"/>
      <c r="M910" s="2"/>
      <c r="N910" s="3"/>
      <c r="O910" s="2"/>
      <c r="P910" s="1"/>
      <c r="Q910" s="1"/>
      <c r="R910" s="1"/>
      <c r="S910" s="1"/>
      <c r="T910" s="1"/>
      <c r="U910" s="1"/>
      <c r="V910" s="1"/>
      <c r="W910" s="1"/>
      <c r="X910" s="1"/>
      <c r="Y910" s="1"/>
      <c r="Z910" s="1"/>
    </row>
    <row r="911">
      <c r="A911" s="1"/>
      <c r="B911" s="1"/>
      <c r="C911" s="1"/>
      <c r="D911" s="1"/>
      <c r="E911" s="1"/>
      <c r="F911" s="1"/>
      <c r="G911" s="1"/>
      <c r="H911" s="1"/>
      <c r="I911" s="1"/>
      <c r="J911" s="1"/>
      <c r="K911" s="2"/>
      <c r="L911" s="2"/>
      <c r="M911" s="2"/>
      <c r="N911" s="3"/>
      <c r="O911" s="2"/>
      <c r="P911" s="1"/>
      <c r="Q911" s="1"/>
      <c r="R911" s="1"/>
      <c r="S911" s="1"/>
      <c r="T911" s="1"/>
      <c r="U911" s="1"/>
      <c r="V911" s="1"/>
      <c r="W911" s="1"/>
      <c r="X911" s="1"/>
      <c r="Y911" s="1"/>
      <c r="Z911" s="1"/>
    </row>
    <row r="912">
      <c r="A912" s="1"/>
      <c r="B912" s="1"/>
      <c r="C912" s="1"/>
      <c r="D912" s="1"/>
      <c r="E912" s="1"/>
      <c r="F912" s="1"/>
      <c r="G912" s="1"/>
      <c r="H912" s="1"/>
      <c r="I912" s="1"/>
      <c r="J912" s="1"/>
      <c r="K912" s="2"/>
      <c r="L912" s="2"/>
      <c r="M912" s="2"/>
      <c r="N912" s="3"/>
      <c r="O912" s="2"/>
      <c r="P912" s="1"/>
      <c r="Q912" s="1"/>
      <c r="R912" s="1"/>
      <c r="S912" s="1"/>
      <c r="T912" s="1"/>
      <c r="U912" s="1"/>
      <c r="V912" s="1"/>
      <c r="W912" s="1"/>
      <c r="X912" s="1"/>
      <c r="Y912" s="1"/>
      <c r="Z912" s="1"/>
    </row>
    <row r="913">
      <c r="A913" s="1"/>
      <c r="B913" s="1"/>
      <c r="C913" s="1"/>
      <c r="D913" s="1"/>
      <c r="E913" s="1"/>
      <c r="F913" s="1"/>
      <c r="G913" s="1"/>
      <c r="H913" s="1"/>
      <c r="I913" s="1"/>
      <c r="J913" s="1"/>
      <c r="K913" s="2"/>
      <c r="L913" s="2"/>
      <c r="M913" s="2"/>
      <c r="N913" s="3"/>
      <c r="O913" s="2"/>
      <c r="P913" s="1"/>
      <c r="Q913" s="1"/>
      <c r="R913" s="1"/>
      <c r="S913" s="1"/>
      <c r="T913" s="1"/>
      <c r="U913" s="1"/>
      <c r="V913" s="1"/>
      <c r="W913" s="1"/>
      <c r="X913" s="1"/>
      <c r="Y913" s="1"/>
      <c r="Z913" s="1"/>
    </row>
    <row r="914">
      <c r="A914" s="1"/>
      <c r="B914" s="1"/>
      <c r="C914" s="1"/>
      <c r="D914" s="1"/>
      <c r="E914" s="1"/>
      <c r="F914" s="1"/>
      <c r="G914" s="1"/>
      <c r="H914" s="1"/>
      <c r="I914" s="1"/>
      <c r="J914" s="1"/>
      <c r="K914" s="2"/>
      <c r="L914" s="2"/>
      <c r="M914" s="2"/>
      <c r="N914" s="3"/>
      <c r="O914" s="2"/>
      <c r="P914" s="1"/>
      <c r="Q914" s="1"/>
      <c r="R914" s="1"/>
      <c r="S914" s="1"/>
      <c r="T914" s="1"/>
      <c r="U914" s="1"/>
      <c r="V914" s="1"/>
      <c r="W914" s="1"/>
      <c r="X914" s="1"/>
      <c r="Y914" s="1"/>
      <c r="Z914" s="1"/>
    </row>
    <row r="915">
      <c r="A915" s="1"/>
      <c r="B915" s="1"/>
      <c r="C915" s="1"/>
      <c r="D915" s="1"/>
      <c r="E915" s="1"/>
      <c r="F915" s="1"/>
      <c r="G915" s="1"/>
      <c r="H915" s="1"/>
      <c r="I915" s="1"/>
      <c r="J915" s="1"/>
      <c r="K915" s="2"/>
      <c r="L915" s="2"/>
      <c r="M915" s="2"/>
      <c r="N915" s="3"/>
      <c r="O915" s="2"/>
      <c r="P915" s="1"/>
      <c r="Q915" s="1"/>
      <c r="R915" s="1"/>
      <c r="S915" s="1"/>
      <c r="T915" s="1"/>
      <c r="U915" s="1"/>
      <c r="V915" s="1"/>
      <c r="W915" s="1"/>
      <c r="X915" s="1"/>
      <c r="Y915" s="1"/>
      <c r="Z915" s="1"/>
    </row>
    <row r="916">
      <c r="A916" s="1"/>
      <c r="B916" s="1"/>
      <c r="C916" s="1"/>
      <c r="D916" s="1"/>
      <c r="E916" s="1"/>
      <c r="F916" s="1"/>
      <c r="G916" s="1"/>
      <c r="H916" s="1"/>
      <c r="I916" s="1"/>
      <c r="J916" s="1"/>
      <c r="K916" s="2"/>
      <c r="L916" s="2"/>
      <c r="M916" s="2"/>
      <c r="N916" s="3"/>
      <c r="O916" s="2"/>
      <c r="P916" s="1"/>
      <c r="Q916" s="1"/>
      <c r="R916" s="1"/>
      <c r="S916" s="1"/>
      <c r="T916" s="1"/>
      <c r="U916" s="1"/>
      <c r="V916" s="1"/>
      <c r="W916" s="1"/>
      <c r="X916" s="1"/>
      <c r="Y916" s="1"/>
      <c r="Z916" s="1"/>
    </row>
    <row r="917">
      <c r="A917" s="1"/>
      <c r="B917" s="1"/>
      <c r="C917" s="1"/>
      <c r="D917" s="1"/>
      <c r="E917" s="1"/>
      <c r="F917" s="1"/>
      <c r="G917" s="1"/>
      <c r="H917" s="1"/>
      <c r="I917" s="1"/>
      <c r="J917" s="1"/>
      <c r="K917" s="2"/>
      <c r="L917" s="2"/>
      <c r="M917" s="2"/>
      <c r="N917" s="3"/>
      <c r="O917" s="2"/>
      <c r="P917" s="1"/>
      <c r="Q917" s="1"/>
      <c r="R917" s="1"/>
      <c r="S917" s="1"/>
      <c r="T917" s="1"/>
      <c r="U917" s="1"/>
      <c r="V917" s="1"/>
      <c r="W917" s="1"/>
      <c r="X917" s="1"/>
      <c r="Y917" s="1"/>
      <c r="Z917" s="1"/>
    </row>
    <row r="918">
      <c r="A918" s="1"/>
      <c r="B918" s="1"/>
      <c r="C918" s="1"/>
      <c r="D918" s="1"/>
      <c r="E918" s="1"/>
      <c r="F918" s="1"/>
      <c r="G918" s="1"/>
      <c r="H918" s="1"/>
      <c r="I918" s="1"/>
      <c r="J918" s="1"/>
      <c r="K918" s="2"/>
      <c r="L918" s="2"/>
      <c r="M918" s="2"/>
      <c r="N918" s="3"/>
      <c r="O918" s="2"/>
      <c r="P918" s="1"/>
      <c r="Q918" s="1"/>
      <c r="R918" s="1"/>
      <c r="S918" s="1"/>
      <c r="T918" s="1"/>
      <c r="U918" s="1"/>
      <c r="V918" s="1"/>
      <c r="W918" s="1"/>
      <c r="X918" s="1"/>
      <c r="Y918" s="1"/>
      <c r="Z918" s="1"/>
    </row>
    <row r="919">
      <c r="A919" s="1"/>
      <c r="B919" s="1"/>
      <c r="C919" s="1"/>
      <c r="D919" s="1"/>
      <c r="E919" s="1"/>
      <c r="F919" s="1"/>
      <c r="G919" s="1"/>
      <c r="H919" s="1"/>
      <c r="I919" s="1"/>
      <c r="J919" s="1"/>
      <c r="K919" s="2"/>
      <c r="L919" s="2"/>
      <c r="M919" s="2"/>
      <c r="N919" s="3"/>
      <c r="O919" s="2"/>
      <c r="P919" s="1"/>
      <c r="Q919" s="1"/>
      <c r="R919" s="1"/>
      <c r="S919" s="1"/>
      <c r="T919" s="1"/>
      <c r="U919" s="1"/>
      <c r="V919" s="1"/>
      <c r="W919" s="1"/>
      <c r="X919" s="1"/>
      <c r="Y919" s="1"/>
      <c r="Z919" s="1"/>
    </row>
    <row r="920">
      <c r="A920" s="1"/>
      <c r="B920" s="1"/>
      <c r="C920" s="1"/>
      <c r="D920" s="1"/>
      <c r="E920" s="1"/>
      <c r="F920" s="1"/>
      <c r="G920" s="1"/>
      <c r="H920" s="1"/>
      <c r="I920" s="1"/>
      <c r="J920" s="1"/>
      <c r="K920" s="2"/>
      <c r="L920" s="2"/>
      <c r="M920" s="2"/>
      <c r="N920" s="3"/>
      <c r="O920" s="2"/>
      <c r="P920" s="1"/>
      <c r="Q920" s="1"/>
      <c r="R920" s="1"/>
      <c r="S920" s="1"/>
      <c r="T920" s="1"/>
      <c r="U920" s="1"/>
      <c r="V920" s="1"/>
      <c r="W920" s="1"/>
      <c r="X920" s="1"/>
      <c r="Y920" s="1"/>
      <c r="Z920" s="1"/>
    </row>
    <row r="921">
      <c r="A921" s="1"/>
      <c r="B921" s="1"/>
      <c r="C921" s="1"/>
      <c r="D921" s="1"/>
      <c r="E921" s="1"/>
      <c r="F921" s="1"/>
      <c r="G921" s="1"/>
      <c r="H921" s="1"/>
      <c r="I921" s="1"/>
      <c r="J921" s="1"/>
      <c r="K921" s="2"/>
      <c r="L921" s="2"/>
      <c r="M921" s="2"/>
      <c r="N921" s="3"/>
      <c r="O921" s="2"/>
      <c r="P921" s="1"/>
      <c r="Q921" s="1"/>
      <c r="R921" s="1"/>
      <c r="S921" s="1"/>
      <c r="T921" s="1"/>
      <c r="U921" s="1"/>
      <c r="V921" s="1"/>
      <c r="W921" s="1"/>
      <c r="X921" s="1"/>
      <c r="Y921" s="1"/>
      <c r="Z921" s="1"/>
    </row>
    <row r="922">
      <c r="A922" s="1"/>
      <c r="B922" s="1"/>
      <c r="C922" s="1"/>
      <c r="D922" s="1"/>
      <c r="E922" s="1"/>
      <c r="F922" s="1"/>
      <c r="G922" s="1"/>
      <c r="H922" s="1"/>
      <c r="I922" s="1"/>
      <c r="J922" s="1"/>
      <c r="K922" s="2"/>
      <c r="L922" s="2"/>
      <c r="M922" s="2"/>
      <c r="N922" s="3"/>
      <c r="O922" s="2"/>
      <c r="P922" s="1"/>
      <c r="Q922" s="1"/>
      <c r="R922" s="1"/>
      <c r="S922" s="1"/>
      <c r="T922" s="1"/>
      <c r="U922" s="1"/>
      <c r="V922" s="1"/>
      <c r="W922" s="1"/>
      <c r="X922" s="1"/>
      <c r="Y922" s="1"/>
      <c r="Z922" s="1"/>
    </row>
    <row r="923">
      <c r="A923" s="1"/>
      <c r="B923" s="1"/>
      <c r="C923" s="1"/>
      <c r="D923" s="1"/>
      <c r="E923" s="1"/>
      <c r="F923" s="1"/>
      <c r="G923" s="1"/>
      <c r="H923" s="1"/>
      <c r="I923" s="1"/>
      <c r="J923" s="1"/>
      <c r="K923" s="2"/>
      <c r="L923" s="2"/>
      <c r="M923" s="2"/>
      <c r="N923" s="3"/>
      <c r="O923" s="2"/>
      <c r="P923" s="1"/>
      <c r="Q923" s="1"/>
      <c r="R923" s="1"/>
      <c r="S923" s="1"/>
      <c r="T923" s="1"/>
      <c r="U923" s="1"/>
      <c r="V923" s="1"/>
      <c r="W923" s="1"/>
      <c r="X923" s="1"/>
      <c r="Y923" s="1"/>
      <c r="Z923" s="1"/>
    </row>
    <row r="924">
      <c r="A924" s="1"/>
      <c r="B924" s="1"/>
      <c r="C924" s="1"/>
      <c r="D924" s="1"/>
      <c r="E924" s="1"/>
      <c r="F924" s="1"/>
      <c r="G924" s="1"/>
      <c r="H924" s="1"/>
      <c r="I924" s="1"/>
      <c r="J924" s="1"/>
      <c r="K924" s="2"/>
      <c r="L924" s="2"/>
      <c r="M924" s="2"/>
      <c r="N924" s="3"/>
      <c r="O924" s="2"/>
      <c r="P924" s="1"/>
      <c r="Q924" s="1"/>
      <c r="R924" s="1"/>
      <c r="S924" s="1"/>
      <c r="T924" s="1"/>
      <c r="U924" s="1"/>
      <c r="V924" s="1"/>
      <c r="W924" s="1"/>
      <c r="X924" s="1"/>
      <c r="Y924" s="1"/>
      <c r="Z924" s="1"/>
    </row>
    <row r="925">
      <c r="A925" s="1"/>
      <c r="B925" s="1"/>
      <c r="C925" s="1"/>
      <c r="D925" s="1"/>
      <c r="E925" s="1"/>
      <c r="F925" s="1"/>
      <c r="G925" s="1"/>
      <c r="H925" s="1"/>
      <c r="I925" s="1"/>
      <c r="J925" s="1"/>
      <c r="K925" s="2"/>
      <c r="L925" s="2"/>
      <c r="M925" s="2"/>
      <c r="N925" s="3"/>
      <c r="O925" s="2"/>
      <c r="P925" s="1"/>
      <c r="Q925" s="1"/>
      <c r="R925" s="1"/>
      <c r="S925" s="1"/>
      <c r="T925" s="1"/>
      <c r="U925" s="1"/>
      <c r="V925" s="1"/>
      <c r="W925" s="1"/>
      <c r="X925" s="1"/>
      <c r="Y925" s="1"/>
      <c r="Z925" s="1"/>
    </row>
    <row r="926">
      <c r="A926" s="1"/>
      <c r="B926" s="1"/>
      <c r="C926" s="1"/>
      <c r="D926" s="1"/>
      <c r="E926" s="1"/>
      <c r="F926" s="1"/>
      <c r="G926" s="1"/>
      <c r="H926" s="1"/>
      <c r="I926" s="1"/>
      <c r="J926" s="1"/>
      <c r="K926" s="2"/>
      <c r="L926" s="2"/>
      <c r="M926" s="2"/>
      <c r="N926" s="3"/>
      <c r="O926" s="2"/>
      <c r="P926" s="1"/>
      <c r="Q926" s="1"/>
      <c r="R926" s="1"/>
      <c r="S926" s="1"/>
      <c r="T926" s="1"/>
      <c r="U926" s="1"/>
      <c r="V926" s="1"/>
      <c r="W926" s="1"/>
      <c r="X926" s="1"/>
      <c r="Y926" s="1"/>
      <c r="Z926" s="1"/>
    </row>
    <row r="927">
      <c r="A927" s="1"/>
      <c r="B927" s="1"/>
      <c r="C927" s="1"/>
      <c r="D927" s="1"/>
      <c r="E927" s="1"/>
      <c r="F927" s="1"/>
      <c r="G927" s="1"/>
      <c r="H927" s="1"/>
      <c r="I927" s="1"/>
      <c r="J927" s="1"/>
      <c r="K927" s="2"/>
      <c r="L927" s="2"/>
      <c r="M927" s="2"/>
      <c r="N927" s="3"/>
      <c r="O927" s="2"/>
      <c r="P927" s="1"/>
      <c r="Q927" s="1"/>
      <c r="R927" s="1"/>
      <c r="S927" s="1"/>
      <c r="T927" s="1"/>
      <c r="U927" s="1"/>
      <c r="V927" s="1"/>
      <c r="W927" s="1"/>
      <c r="X927" s="1"/>
      <c r="Y927" s="1"/>
      <c r="Z927" s="1"/>
    </row>
    <row r="928">
      <c r="A928" s="1"/>
      <c r="B928" s="1"/>
      <c r="C928" s="1"/>
      <c r="D928" s="1"/>
      <c r="E928" s="1"/>
      <c r="F928" s="1"/>
      <c r="G928" s="1"/>
      <c r="H928" s="1"/>
      <c r="I928" s="1"/>
      <c r="J928" s="1"/>
      <c r="K928" s="2"/>
      <c r="L928" s="2"/>
      <c r="M928" s="2"/>
      <c r="N928" s="3"/>
      <c r="O928" s="2"/>
      <c r="P928" s="1"/>
      <c r="Q928" s="1"/>
      <c r="R928" s="1"/>
      <c r="S928" s="1"/>
      <c r="T928" s="1"/>
      <c r="U928" s="1"/>
      <c r="V928" s="1"/>
      <c r="W928" s="1"/>
      <c r="X928" s="1"/>
      <c r="Y928" s="1"/>
      <c r="Z928" s="1"/>
    </row>
    <row r="929">
      <c r="A929" s="1"/>
      <c r="B929" s="1"/>
      <c r="C929" s="1"/>
      <c r="D929" s="1"/>
      <c r="E929" s="1"/>
      <c r="F929" s="1"/>
      <c r="G929" s="1"/>
      <c r="H929" s="1"/>
      <c r="I929" s="1"/>
      <c r="J929" s="1"/>
      <c r="K929" s="2"/>
      <c r="L929" s="2"/>
      <c r="M929" s="2"/>
      <c r="N929" s="3"/>
      <c r="O929" s="2"/>
      <c r="P929" s="1"/>
      <c r="Q929" s="1"/>
      <c r="R929" s="1"/>
      <c r="S929" s="1"/>
      <c r="T929" s="1"/>
      <c r="U929" s="1"/>
      <c r="V929" s="1"/>
      <c r="W929" s="1"/>
      <c r="X929" s="1"/>
      <c r="Y929" s="1"/>
      <c r="Z929" s="1"/>
    </row>
    <row r="930">
      <c r="A930" s="1"/>
      <c r="B930" s="1"/>
      <c r="C930" s="1"/>
      <c r="D930" s="1"/>
      <c r="E930" s="1"/>
      <c r="F930" s="1"/>
      <c r="G930" s="1"/>
      <c r="H930" s="1"/>
      <c r="I930" s="1"/>
      <c r="J930" s="1"/>
      <c r="K930" s="2"/>
      <c r="L930" s="2"/>
      <c r="M930" s="2"/>
      <c r="N930" s="3"/>
      <c r="O930" s="2"/>
      <c r="P930" s="1"/>
      <c r="Q930" s="1"/>
      <c r="R930" s="1"/>
      <c r="S930" s="1"/>
      <c r="T930" s="1"/>
      <c r="U930" s="1"/>
      <c r="V930" s="1"/>
      <c r="W930" s="1"/>
      <c r="X930" s="1"/>
      <c r="Y930" s="1"/>
      <c r="Z930" s="1"/>
    </row>
    <row r="931">
      <c r="A931" s="1"/>
      <c r="B931" s="1"/>
      <c r="C931" s="1"/>
      <c r="D931" s="1"/>
      <c r="E931" s="1"/>
      <c r="F931" s="1"/>
      <c r="G931" s="1"/>
      <c r="H931" s="1"/>
      <c r="I931" s="1"/>
      <c r="J931" s="1"/>
      <c r="K931" s="2"/>
      <c r="L931" s="2"/>
      <c r="M931" s="2"/>
      <c r="N931" s="3"/>
      <c r="O931" s="2"/>
      <c r="P931" s="1"/>
      <c r="Q931" s="1"/>
      <c r="R931" s="1"/>
      <c r="S931" s="1"/>
      <c r="T931" s="1"/>
      <c r="U931" s="1"/>
      <c r="V931" s="1"/>
      <c r="W931" s="1"/>
      <c r="X931" s="1"/>
      <c r="Y931" s="1"/>
      <c r="Z931" s="1"/>
    </row>
    <row r="932">
      <c r="A932" s="1"/>
      <c r="B932" s="1"/>
      <c r="C932" s="1"/>
      <c r="D932" s="1"/>
      <c r="E932" s="1"/>
      <c r="F932" s="1"/>
      <c r="G932" s="1"/>
      <c r="H932" s="1"/>
      <c r="I932" s="1"/>
      <c r="J932" s="1"/>
      <c r="K932" s="2"/>
      <c r="L932" s="2"/>
      <c r="M932" s="2"/>
      <c r="N932" s="3"/>
      <c r="O932" s="2"/>
      <c r="P932" s="1"/>
      <c r="Q932" s="1"/>
      <c r="R932" s="1"/>
      <c r="S932" s="1"/>
      <c r="T932" s="1"/>
      <c r="U932" s="1"/>
      <c r="V932" s="1"/>
      <c r="W932" s="1"/>
      <c r="X932" s="1"/>
      <c r="Y932" s="1"/>
      <c r="Z932" s="1"/>
    </row>
    <row r="933">
      <c r="A933" s="1"/>
      <c r="B933" s="1"/>
      <c r="C933" s="1"/>
      <c r="D933" s="1"/>
      <c r="E933" s="1"/>
      <c r="F933" s="1"/>
      <c r="G933" s="1"/>
      <c r="H933" s="1"/>
      <c r="I933" s="1"/>
      <c r="J933" s="1"/>
      <c r="K933" s="2"/>
      <c r="L933" s="2"/>
      <c r="M933" s="2"/>
      <c r="N933" s="3"/>
      <c r="O933" s="2"/>
      <c r="P933" s="1"/>
      <c r="Q933" s="1"/>
      <c r="R933" s="1"/>
      <c r="S933" s="1"/>
      <c r="T933" s="1"/>
      <c r="U933" s="1"/>
      <c r="V933" s="1"/>
      <c r="W933" s="1"/>
      <c r="X933" s="1"/>
      <c r="Y933" s="1"/>
      <c r="Z933" s="1"/>
    </row>
    <row r="934">
      <c r="A934" s="1"/>
      <c r="B934" s="1"/>
      <c r="C934" s="1"/>
      <c r="D934" s="1"/>
      <c r="E934" s="1"/>
      <c r="F934" s="1"/>
      <c r="G934" s="1"/>
      <c r="H934" s="1"/>
      <c r="I934" s="1"/>
      <c r="J934" s="1"/>
      <c r="K934" s="2"/>
      <c r="L934" s="2"/>
      <c r="M934" s="2"/>
      <c r="N934" s="3"/>
      <c r="O934" s="2"/>
      <c r="P934" s="1"/>
      <c r="Q934" s="1"/>
      <c r="R934" s="1"/>
      <c r="S934" s="1"/>
      <c r="T934" s="1"/>
      <c r="U934" s="1"/>
      <c r="V934" s="1"/>
      <c r="W934" s="1"/>
      <c r="X934" s="1"/>
      <c r="Y934" s="1"/>
      <c r="Z934" s="1"/>
    </row>
    <row r="935">
      <c r="A935" s="1"/>
      <c r="B935" s="1"/>
      <c r="C935" s="1"/>
      <c r="D935" s="1"/>
      <c r="E935" s="1"/>
      <c r="F935" s="1"/>
      <c r="G935" s="1"/>
      <c r="H935" s="1"/>
      <c r="I935" s="1"/>
      <c r="J935" s="1"/>
      <c r="K935" s="2"/>
      <c r="L935" s="2"/>
      <c r="M935" s="2"/>
      <c r="N935" s="3"/>
      <c r="O935" s="2"/>
      <c r="P935" s="1"/>
      <c r="Q935" s="1"/>
      <c r="R935" s="1"/>
      <c r="S935" s="1"/>
      <c r="T935" s="1"/>
      <c r="U935" s="1"/>
      <c r="V935" s="1"/>
      <c r="W935" s="1"/>
      <c r="X935" s="1"/>
      <c r="Y935" s="1"/>
      <c r="Z935" s="1"/>
    </row>
    <row r="936">
      <c r="A936" s="1"/>
      <c r="B936" s="1"/>
      <c r="C936" s="1"/>
      <c r="D936" s="1"/>
      <c r="E936" s="1"/>
      <c r="F936" s="1"/>
      <c r="G936" s="1"/>
      <c r="H936" s="1"/>
      <c r="I936" s="1"/>
      <c r="J936" s="1"/>
      <c r="K936" s="2"/>
      <c r="L936" s="2"/>
      <c r="M936" s="2"/>
      <c r="N936" s="3"/>
      <c r="O936" s="2"/>
      <c r="P936" s="1"/>
      <c r="Q936" s="1"/>
      <c r="R936" s="1"/>
      <c r="S936" s="1"/>
      <c r="T936" s="1"/>
      <c r="U936" s="1"/>
      <c r="V936" s="1"/>
      <c r="W936" s="1"/>
      <c r="X936" s="1"/>
      <c r="Y936" s="1"/>
      <c r="Z936" s="1"/>
    </row>
    <row r="937">
      <c r="A937" s="1"/>
      <c r="B937" s="1"/>
      <c r="C937" s="1"/>
      <c r="D937" s="1"/>
      <c r="E937" s="1"/>
      <c r="F937" s="1"/>
      <c r="G937" s="1"/>
      <c r="H937" s="1"/>
      <c r="I937" s="1"/>
      <c r="J937" s="1"/>
      <c r="K937" s="2"/>
      <c r="L937" s="2"/>
      <c r="M937" s="2"/>
      <c r="N937" s="3"/>
      <c r="O937" s="2"/>
      <c r="P937" s="1"/>
      <c r="Q937" s="1"/>
      <c r="R937" s="1"/>
      <c r="S937" s="1"/>
      <c r="T937" s="1"/>
      <c r="U937" s="1"/>
      <c r="V937" s="1"/>
      <c r="W937" s="1"/>
      <c r="X937" s="1"/>
      <c r="Y937" s="1"/>
      <c r="Z937" s="1"/>
    </row>
    <row r="938">
      <c r="A938" s="1"/>
      <c r="B938" s="1"/>
      <c r="C938" s="1"/>
      <c r="D938" s="1"/>
      <c r="E938" s="1"/>
      <c r="F938" s="1"/>
      <c r="G938" s="1"/>
      <c r="H938" s="1"/>
      <c r="I938" s="1"/>
      <c r="J938" s="1"/>
      <c r="K938" s="2"/>
      <c r="L938" s="2"/>
      <c r="M938" s="2"/>
      <c r="N938" s="3"/>
      <c r="O938" s="2"/>
      <c r="P938" s="1"/>
      <c r="Q938" s="1"/>
      <c r="R938" s="1"/>
      <c r="S938" s="1"/>
      <c r="T938" s="1"/>
      <c r="U938" s="1"/>
      <c r="V938" s="1"/>
      <c r="W938" s="1"/>
      <c r="X938" s="1"/>
      <c r="Y938" s="1"/>
      <c r="Z938" s="1"/>
    </row>
    <row r="939">
      <c r="A939" s="1"/>
      <c r="B939" s="1"/>
      <c r="C939" s="1"/>
      <c r="D939" s="1"/>
      <c r="E939" s="1"/>
      <c r="F939" s="1"/>
      <c r="G939" s="1"/>
      <c r="H939" s="1"/>
      <c r="I939" s="1"/>
      <c r="J939" s="1"/>
      <c r="K939" s="2"/>
      <c r="L939" s="2"/>
      <c r="M939" s="2"/>
      <c r="N939" s="3"/>
      <c r="O939" s="2"/>
      <c r="P939" s="1"/>
      <c r="Q939" s="1"/>
      <c r="R939" s="1"/>
      <c r="S939" s="1"/>
      <c r="T939" s="1"/>
      <c r="U939" s="1"/>
      <c r="V939" s="1"/>
      <c r="W939" s="1"/>
      <c r="X939" s="1"/>
      <c r="Y939" s="1"/>
      <c r="Z939" s="1"/>
    </row>
    <row r="940">
      <c r="A940" s="1"/>
      <c r="B940" s="1"/>
      <c r="C940" s="1"/>
      <c r="D940" s="1"/>
      <c r="E940" s="1"/>
      <c r="F940" s="1"/>
      <c r="G940" s="1"/>
      <c r="H940" s="1"/>
      <c r="I940" s="1"/>
      <c r="J940" s="1"/>
      <c r="K940" s="2"/>
      <c r="L940" s="2"/>
      <c r="M940" s="2"/>
      <c r="N940" s="3"/>
      <c r="O940" s="2"/>
      <c r="P940" s="1"/>
      <c r="Q940" s="1"/>
      <c r="R940" s="1"/>
      <c r="S940" s="1"/>
      <c r="T940" s="1"/>
      <c r="U940" s="1"/>
      <c r="V940" s="1"/>
      <c r="W940" s="1"/>
      <c r="X940" s="1"/>
      <c r="Y940" s="1"/>
      <c r="Z940" s="1"/>
    </row>
    <row r="941">
      <c r="A941" s="1"/>
      <c r="B941" s="1"/>
      <c r="C941" s="1"/>
      <c r="D941" s="1"/>
      <c r="E941" s="1"/>
      <c r="F941" s="1"/>
      <c r="G941" s="1"/>
      <c r="H941" s="1"/>
      <c r="I941" s="1"/>
      <c r="J941" s="1"/>
      <c r="K941" s="2"/>
      <c r="L941" s="2"/>
      <c r="M941" s="2"/>
      <c r="N941" s="3"/>
      <c r="O941" s="2"/>
      <c r="P941" s="1"/>
      <c r="Q941" s="1"/>
      <c r="R941" s="1"/>
      <c r="S941" s="1"/>
      <c r="T941" s="1"/>
      <c r="U941" s="1"/>
      <c r="V941" s="1"/>
      <c r="W941" s="1"/>
      <c r="X941" s="1"/>
      <c r="Y941" s="1"/>
      <c r="Z941" s="1"/>
    </row>
    <row r="942">
      <c r="A942" s="1"/>
      <c r="B942" s="1"/>
      <c r="C942" s="1"/>
      <c r="D942" s="1"/>
      <c r="E942" s="1"/>
      <c r="F942" s="1"/>
      <c r="G942" s="1"/>
      <c r="H942" s="1"/>
      <c r="I942" s="1"/>
      <c r="J942" s="1"/>
      <c r="K942" s="2"/>
      <c r="L942" s="2"/>
      <c r="M942" s="2"/>
      <c r="N942" s="3"/>
      <c r="O942" s="2"/>
      <c r="P942" s="1"/>
      <c r="Q942" s="1"/>
      <c r="R942" s="1"/>
      <c r="S942" s="1"/>
      <c r="T942" s="1"/>
      <c r="U942" s="1"/>
      <c r="V942" s="1"/>
      <c r="W942" s="1"/>
      <c r="X942" s="1"/>
      <c r="Y942" s="1"/>
      <c r="Z942" s="1"/>
    </row>
    <row r="943">
      <c r="A943" s="1"/>
      <c r="B943" s="1"/>
      <c r="C943" s="1"/>
      <c r="D943" s="1"/>
      <c r="E943" s="1"/>
      <c r="F943" s="1"/>
      <c r="G943" s="1"/>
      <c r="H943" s="1"/>
      <c r="I943" s="1"/>
      <c r="J943" s="1"/>
      <c r="K943" s="2"/>
      <c r="L943" s="2"/>
      <c r="M943" s="2"/>
      <c r="N943" s="3"/>
      <c r="O943" s="2"/>
      <c r="P943" s="1"/>
      <c r="Q943" s="1"/>
      <c r="R943" s="1"/>
      <c r="S943" s="1"/>
      <c r="T943" s="1"/>
      <c r="U943" s="1"/>
      <c r="V943" s="1"/>
      <c r="W943" s="1"/>
      <c r="X943" s="1"/>
      <c r="Y943" s="1"/>
      <c r="Z943" s="1"/>
    </row>
    <row r="944">
      <c r="A944" s="1"/>
      <c r="B944" s="1"/>
      <c r="C944" s="1"/>
      <c r="D944" s="1"/>
      <c r="E944" s="1"/>
      <c r="F944" s="1"/>
      <c r="G944" s="1"/>
      <c r="H944" s="1"/>
      <c r="I944" s="1"/>
      <c r="J944" s="1"/>
      <c r="K944" s="2"/>
      <c r="L944" s="2"/>
      <c r="M944" s="2"/>
      <c r="N944" s="3"/>
      <c r="O944" s="2"/>
      <c r="P944" s="1"/>
      <c r="Q944" s="1"/>
      <c r="R944" s="1"/>
      <c r="S944" s="1"/>
      <c r="T944" s="1"/>
      <c r="U944" s="1"/>
      <c r="V944" s="1"/>
      <c r="W944" s="1"/>
      <c r="X944" s="1"/>
      <c r="Y944" s="1"/>
      <c r="Z944" s="1"/>
    </row>
    <row r="945">
      <c r="A945" s="1"/>
      <c r="B945" s="1"/>
      <c r="C945" s="1"/>
      <c r="D945" s="1"/>
      <c r="E945" s="1"/>
      <c r="F945" s="1"/>
      <c r="G945" s="1"/>
      <c r="H945" s="1"/>
      <c r="I945" s="1"/>
      <c r="J945" s="1"/>
      <c r="K945" s="2"/>
      <c r="L945" s="2"/>
      <c r="M945" s="2"/>
      <c r="N945" s="3"/>
      <c r="O945" s="2"/>
      <c r="P945" s="1"/>
      <c r="Q945" s="1"/>
      <c r="R945" s="1"/>
      <c r="S945" s="1"/>
      <c r="T945" s="1"/>
      <c r="U945" s="1"/>
      <c r="V945" s="1"/>
      <c r="W945" s="1"/>
      <c r="X945" s="1"/>
      <c r="Y945" s="1"/>
      <c r="Z945" s="1"/>
    </row>
    <row r="946">
      <c r="A946" s="1"/>
      <c r="B946" s="1"/>
      <c r="C946" s="1"/>
      <c r="D946" s="1"/>
      <c r="E946" s="1"/>
      <c r="F946" s="1"/>
      <c r="G946" s="1"/>
      <c r="H946" s="1"/>
      <c r="I946" s="1"/>
      <c r="J946" s="1"/>
      <c r="K946" s="2"/>
      <c r="L946" s="2"/>
      <c r="M946" s="2"/>
      <c r="N946" s="3"/>
      <c r="O946" s="2"/>
      <c r="P946" s="1"/>
      <c r="Q946" s="1"/>
      <c r="R946" s="1"/>
      <c r="S946" s="1"/>
      <c r="T946" s="1"/>
      <c r="U946" s="1"/>
      <c r="V946" s="1"/>
      <c r="W946" s="1"/>
      <c r="X946" s="1"/>
      <c r="Y946" s="1"/>
      <c r="Z946" s="1"/>
    </row>
    <row r="947">
      <c r="A947" s="1"/>
      <c r="B947" s="1"/>
      <c r="C947" s="1"/>
      <c r="D947" s="1"/>
      <c r="E947" s="1"/>
      <c r="F947" s="1"/>
      <c r="G947" s="1"/>
      <c r="H947" s="1"/>
      <c r="I947" s="1"/>
      <c r="J947" s="1"/>
      <c r="K947" s="2"/>
      <c r="L947" s="2"/>
      <c r="M947" s="2"/>
      <c r="N947" s="3"/>
      <c r="O947" s="2"/>
      <c r="P947" s="1"/>
      <c r="Q947" s="1"/>
      <c r="R947" s="1"/>
      <c r="S947" s="1"/>
      <c r="T947" s="1"/>
      <c r="U947" s="1"/>
      <c r="V947" s="1"/>
      <c r="W947" s="1"/>
      <c r="X947" s="1"/>
      <c r="Y947" s="1"/>
      <c r="Z947" s="1"/>
    </row>
    <row r="948">
      <c r="A948" s="1"/>
      <c r="B948" s="1"/>
      <c r="C948" s="1"/>
      <c r="D948" s="1"/>
      <c r="E948" s="1"/>
      <c r="F948" s="1"/>
      <c r="G948" s="1"/>
      <c r="H948" s="1"/>
      <c r="I948" s="1"/>
      <c r="J948" s="1"/>
      <c r="K948" s="2"/>
      <c r="L948" s="2"/>
      <c r="M948" s="2"/>
      <c r="N948" s="3"/>
      <c r="O948" s="2"/>
      <c r="P948" s="1"/>
      <c r="Q948" s="1"/>
      <c r="R948" s="1"/>
      <c r="S948" s="1"/>
      <c r="T948" s="1"/>
      <c r="U948" s="1"/>
      <c r="V948" s="1"/>
      <c r="W948" s="1"/>
      <c r="X948" s="1"/>
      <c r="Y948" s="1"/>
      <c r="Z948" s="1"/>
    </row>
    <row r="949">
      <c r="A949" s="1"/>
      <c r="B949" s="1"/>
      <c r="C949" s="1"/>
      <c r="D949" s="1"/>
      <c r="E949" s="1"/>
      <c r="F949" s="1"/>
      <c r="G949" s="1"/>
      <c r="H949" s="1"/>
      <c r="I949" s="1"/>
      <c r="J949" s="1"/>
      <c r="K949" s="2"/>
      <c r="L949" s="2"/>
      <c r="M949" s="2"/>
      <c r="N949" s="3"/>
      <c r="O949" s="2"/>
      <c r="P949" s="1"/>
      <c r="Q949" s="1"/>
      <c r="R949" s="1"/>
      <c r="S949" s="1"/>
      <c r="T949" s="1"/>
      <c r="U949" s="1"/>
      <c r="V949" s="1"/>
      <c r="W949" s="1"/>
      <c r="X949" s="1"/>
      <c r="Y949" s="1"/>
      <c r="Z949" s="1"/>
    </row>
    <row r="950">
      <c r="A950" s="1"/>
      <c r="B950" s="1"/>
      <c r="C950" s="1"/>
      <c r="D950" s="1"/>
      <c r="E950" s="1"/>
      <c r="F950" s="1"/>
      <c r="G950" s="1"/>
      <c r="H950" s="1"/>
      <c r="I950" s="1"/>
      <c r="J950" s="1"/>
      <c r="K950" s="2"/>
      <c r="L950" s="2"/>
      <c r="M950" s="2"/>
      <c r="N950" s="3"/>
      <c r="O950" s="2"/>
      <c r="P950" s="1"/>
      <c r="Q950" s="1"/>
      <c r="R950" s="1"/>
      <c r="S950" s="1"/>
      <c r="T950" s="1"/>
      <c r="U950" s="1"/>
      <c r="V950" s="1"/>
      <c r="W950" s="1"/>
      <c r="X950" s="1"/>
      <c r="Y950" s="1"/>
      <c r="Z950" s="1"/>
    </row>
    <row r="951">
      <c r="A951" s="1"/>
      <c r="B951" s="1"/>
      <c r="C951" s="1"/>
      <c r="D951" s="1"/>
      <c r="E951" s="1"/>
      <c r="F951" s="1"/>
      <c r="G951" s="1"/>
      <c r="H951" s="1"/>
      <c r="I951" s="1"/>
      <c r="J951" s="1"/>
      <c r="K951" s="2"/>
      <c r="L951" s="2"/>
      <c r="M951" s="2"/>
      <c r="N951" s="3"/>
      <c r="O951" s="2"/>
      <c r="P951" s="1"/>
      <c r="Q951" s="1"/>
      <c r="R951" s="1"/>
      <c r="S951" s="1"/>
      <c r="T951" s="1"/>
      <c r="U951" s="1"/>
      <c r="V951" s="1"/>
      <c r="W951" s="1"/>
      <c r="X951" s="1"/>
      <c r="Y951" s="1"/>
      <c r="Z951" s="1"/>
    </row>
    <row r="952">
      <c r="A952" s="1"/>
      <c r="B952" s="1"/>
      <c r="C952" s="1"/>
      <c r="D952" s="1"/>
      <c r="E952" s="1"/>
      <c r="F952" s="1"/>
      <c r="G952" s="1"/>
      <c r="H952" s="1"/>
      <c r="I952" s="1"/>
      <c r="J952" s="1"/>
      <c r="K952" s="2"/>
      <c r="L952" s="2"/>
      <c r="M952" s="2"/>
      <c r="N952" s="3"/>
      <c r="O952" s="2"/>
      <c r="P952" s="1"/>
      <c r="Q952" s="1"/>
      <c r="R952" s="1"/>
      <c r="S952" s="1"/>
      <c r="T952" s="1"/>
      <c r="U952" s="1"/>
      <c r="V952" s="1"/>
      <c r="W952" s="1"/>
      <c r="X952" s="1"/>
      <c r="Y952" s="1"/>
      <c r="Z952" s="1"/>
    </row>
    <row r="953">
      <c r="A953" s="1"/>
      <c r="B953" s="1"/>
      <c r="C953" s="1"/>
      <c r="D953" s="1"/>
      <c r="E953" s="1"/>
      <c r="F953" s="1"/>
      <c r="G953" s="1"/>
      <c r="H953" s="1"/>
      <c r="I953" s="1"/>
      <c r="J953" s="1"/>
      <c r="K953" s="2"/>
      <c r="L953" s="2"/>
      <c r="M953" s="2"/>
      <c r="N953" s="3"/>
      <c r="O953" s="2"/>
      <c r="P953" s="1"/>
      <c r="Q953" s="1"/>
      <c r="R953" s="1"/>
      <c r="S953" s="1"/>
      <c r="T953" s="1"/>
      <c r="U953" s="1"/>
      <c r="V953" s="1"/>
      <c r="W953" s="1"/>
      <c r="X953" s="1"/>
      <c r="Y953" s="1"/>
      <c r="Z953" s="1"/>
    </row>
    <row r="954">
      <c r="A954" s="1"/>
      <c r="B954" s="1"/>
      <c r="C954" s="1"/>
      <c r="D954" s="1"/>
      <c r="E954" s="1"/>
      <c r="F954" s="1"/>
      <c r="G954" s="1"/>
      <c r="H954" s="1"/>
      <c r="I954" s="1"/>
      <c r="J954" s="1"/>
      <c r="K954" s="2"/>
      <c r="L954" s="2"/>
      <c r="M954" s="2"/>
      <c r="N954" s="3"/>
      <c r="O954" s="2"/>
      <c r="P954" s="1"/>
      <c r="Q954" s="1"/>
      <c r="R954" s="1"/>
      <c r="S954" s="1"/>
      <c r="T954" s="1"/>
      <c r="U954" s="1"/>
      <c r="V954" s="1"/>
      <c r="W954" s="1"/>
      <c r="X954" s="1"/>
      <c r="Y954" s="1"/>
      <c r="Z954" s="1"/>
    </row>
    <row r="955">
      <c r="A955" s="1"/>
      <c r="B955" s="1"/>
      <c r="C955" s="1"/>
      <c r="D955" s="1"/>
      <c r="E955" s="1"/>
      <c r="F955" s="1"/>
      <c r="G955" s="1"/>
      <c r="H955" s="1"/>
      <c r="I955" s="1"/>
      <c r="J955" s="1"/>
      <c r="K955" s="2"/>
      <c r="L955" s="2"/>
      <c r="M955" s="2"/>
      <c r="N955" s="3"/>
      <c r="O955" s="2"/>
      <c r="P955" s="1"/>
      <c r="Q955" s="1"/>
      <c r="R955" s="1"/>
      <c r="S955" s="1"/>
      <c r="T955" s="1"/>
      <c r="U955" s="1"/>
      <c r="V955" s="1"/>
      <c r="W955" s="1"/>
      <c r="X955" s="1"/>
      <c r="Y955" s="1"/>
      <c r="Z955" s="1"/>
    </row>
    <row r="956">
      <c r="A956" s="1"/>
      <c r="B956" s="1"/>
      <c r="C956" s="1"/>
      <c r="D956" s="1"/>
      <c r="E956" s="1"/>
      <c r="F956" s="1"/>
      <c r="G956" s="1"/>
      <c r="H956" s="1"/>
      <c r="I956" s="1"/>
      <c r="J956" s="1"/>
      <c r="K956" s="2"/>
      <c r="L956" s="2"/>
      <c r="M956" s="2"/>
      <c r="N956" s="3"/>
      <c r="O956" s="2"/>
      <c r="P956" s="1"/>
      <c r="Q956" s="1"/>
      <c r="R956" s="1"/>
      <c r="S956" s="1"/>
      <c r="T956" s="1"/>
      <c r="U956" s="1"/>
      <c r="V956" s="1"/>
      <c r="W956" s="1"/>
      <c r="X956" s="1"/>
      <c r="Y956" s="1"/>
      <c r="Z956" s="1"/>
    </row>
    <row r="957">
      <c r="A957" s="1"/>
      <c r="B957" s="1"/>
      <c r="C957" s="1"/>
      <c r="D957" s="1"/>
      <c r="E957" s="1"/>
      <c r="F957" s="1"/>
      <c r="G957" s="1"/>
      <c r="H957" s="1"/>
      <c r="I957" s="1"/>
      <c r="J957" s="1"/>
      <c r="K957" s="2"/>
      <c r="L957" s="2"/>
      <c r="M957" s="2"/>
      <c r="N957" s="3"/>
      <c r="O957" s="2"/>
      <c r="P957" s="1"/>
      <c r="Q957" s="1"/>
      <c r="R957" s="1"/>
      <c r="S957" s="1"/>
      <c r="T957" s="1"/>
      <c r="U957" s="1"/>
      <c r="V957" s="1"/>
      <c r="W957" s="1"/>
      <c r="X957" s="1"/>
      <c r="Y957" s="1"/>
      <c r="Z957" s="1"/>
    </row>
    <row r="958">
      <c r="A958" s="1"/>
      <c r="B958" s="1"/>
      <c r="C958" s="1"/>
      <c r="D958" s="1"/>
      <c r="E958" s="1"/>
      <c r="F958" s="1"/>
      <c r="G958" s="1"/>
      <c r="H958" s="1"/>
      <c r="I958" s="1"/>
      <c r="J958" s="1"/>
      <c r="K958" s="2"/>
      <c r="L958" s="2"/>
      <c r="M958" s="2"/>
      <c r="N958" s="3"/>
      <c r="O958" s="2"/>
      <c r="P958" s="1"/>
      <c r="Q958" s="1"/>
      <c r="R958" s="1"/>
      <c r="S958" s="1"/>
      <c r="T958" s="1"/>
      <c r="U958" s="1"/>
      <c r="V958" s="1"/>
      <c r="W958" s="1"/>
      <c r="X958" s="1"/>
      <c r="Y958" s="1"/>
      <c r="Z958" s="1"/>
    </row>
    <row r="959">
      <c r="A959" s="1"/>
      <c r="B959" s="1"/>
      <c r="C959" s="1"/>
      <c r="D959" s="1"/>
      <c r="E959" s="1"/>
      <c r="F959" s="1"/>
      <c r="G959" s="1"/>
      <c r="H959" s="1"/>
      <c r="I959" s="1"/>
      <c r="J959" s="1"/>
      <c r="K959" s="2"/>
      <c r="L959" s="2"/>
      <c r="M959" s="2"/>
      <c r="N959" s="3"/>
      <c r="O959" s="2"/>
      <c r="P959" s="1"/>
      <c r="Q959" s="1"/>
      <c r="R959" s="1"/>
      <c r="S959" s="1"/>
      <c r="T959" s="1"/>
      <c r="U959" s="1"/>
      <c r="V959" s="1"/>
      <c r="W959" s="1"/>
      <c r="X959" s="1"/>
      <c r="Y959" s="1"/>
      <c r="Z959" s="1"/>
    </row>
    <row r="960">
      <c r="A960" s="1"/>
      <c r="B960" s="1"/>
      <c r="C960" s="1"/>
      <c r="D960" s="1"/>
      <c r="E960" s="1"/>
      <c r="F960" s="1"/>
      <c r="G960" s="1"/>
      <c r="H960" s="1"/>
      <c r="I960" s="1"/>
      <c r="J960" s="1"/>
      <c r="K960" s="2"/>
      <c r="L960" s="2"/>
      <c r="M960" s="2"/>
      <c r="N960" s="3"/>
      <c r="O960" s="2"/>
      <c r="P960" s="1"/>
      <c r="Q960" s="1"/>
      <c r="R960" s="1"/>
      <c r="S960" s="1"/>
      <c r="T960" s="1"/>
      <c r="U960" s="1"/>
      <c r="V960" s="1"/>
      <c r="W960" s="1"/>
      <c r="X960" s="1"/>
      <c r="Y960" s="1"/>
      <c r="Z960" s="1"/>
    </row>
    <row r="961">
      <c r="A961" s="1"/>
      <c r="B961" s="1"/>
      <c r="C961" s="1"/>
      <c r="D961" s="1"/>
      <c r="E961" s="1"/>
      <c r="F961" s="1"/>
      <c r="G961" s="1"/>
      <c r="H961" s="1"/>
      <c r="I961" s="1"/>
      <c r="J961" s="1"/>
      <c r="K961" s="2"/>
      <c r="L961" s="2"/>
      <c r="M961" s="2"/>
      <c r="N961" s="3"/>
      <c r="O961" s="2"/>
      <c r="P961" s="1"/>
      <c r="Q961" s="1"/>
      <c r="R961" s="1"/>
      <c r="S961" s="1"/>
      <c r="T961" s="1"/>
      <c r="U961" s="1"/>
      <c r="V961" s="1"/>
      <c r="W961" s="1"/>
      <c r="X961" s="1"/>
      <c r="Y961" s="1"/>
      <c r="Z961" s="1"/>
    </row>
    <row r="962">
      <c r="A962" s="1"/>
      <c r="B962" s="1"/>
      <c r="C962" s="1"/>
      <c r="D962" s="1"/>
      <c r="E962" s="1"/>
      <c r="F962" s="1"/>
      <c r="G962" s="1"/>
      <c r="H962" s="1"/>
      <c r="I962" s="1"/>
      <c r="J962" s="1"/>
      <c r="K962" s="2"/>
      <c r="L962" s="2"/>
      <c r="M962" s="2"/>
      <c r="N962" s="3"/>
      <c r="O962" s="2"/>
      <c r="P962" s="1"/>
      <c r="Q962" s="1"/>
      <c r="R962" s="1"/>
      <c r="S962" s="1"/>
      <c r="T962" s="1"/>
      <c r="U962" s="1"/>
      <c r="V962" s="1"/>
      <c r="W962" s="1"/>
      <c r="X962" s="1"/>
      <c r="Y962" s="1"/>
      <c r="Z962" s="1"/>
    </row>
    <row r="963">
      <c r="A963" s="1"/>
      <c r="B963" s="1"/>
      <c r="C963" s="1"/>
      <c r="D963" s="1"/>
      <c r="E963" s="1"/>
      <c r="F963" s="1"/>
      <c r="G963" s="1"/>
      <c r="H963" s="1"/>
      <c r="I963" s="1"/>
      <c r="J963" s="1"/>
      <c r="K963" s="2"/>
      <c r="L963" s="2"/>
      <c r="M963" s="2"/>
      <c r="N963" s="3"/>
      <c r="O963" s="2"/>
      <c r="P963" s="1"/>
      <c r="Q963" s="1"/>
      <c r="R963" s="1"/>
      <c r="S963" s="1"/>
      <c r="T963" s="1"/>
      <c r="U963" s="1"/>
      <c r="V963" s="1"/>
      <c r="W963" s="1"/>
      <c r="X963" s="1"/>
      <c r="Y963" s="1"/>
      <c r="Z963" s="1"/>
    </row>
    <row r="964">
      <c r="A964" s="1"/>
      <c r="B964" s="1"/>
      <c r="C964" s="1"/>
      <c r="D964" s="1"/>
      <c r="E964" s="1"/>
      <c r="F964" s="1"/>
      <c r="G964" s="1"/>
      <c r="H964" s="1"/>
      <c r="I964" s="1"/>
      <c r="J964" s="1"/>
      <c r="K964" s="2"/>
      <c r="L964" s="2"/>
      <c r="M964" s="2"/>
      <c r="N964" s="3"/>
      <c r="O964" s="2"/>
      <c r="P964" s="1"/>
      <c r="Q964" s="1"/>
      <c r="R964" s="1"/>
      <c r="S964" s="1"/>
      <c r="T964" s="1"/>
      <c r="U964" s="1"/>
      <c r="V964" s="1"/>
      <c r="W964" s="1"/>
      <c r="X964" s="1"/>
      <c r="Y964" s="1"/>
      <c r="Z964" s="1"/>
    </row>
    <row r="965">
      <c r="A965" s="1"/>
      <c r="B965" s="1"/>
      <c r="C965" s="1"/>
      <c r="D965" s="1"/>
      <c r="E965" s="1"/>
      <c r="F965" s="1"/>
      <c r="G965" s="1"/>
      <c r="H965" s="1"/>
      <c r="I965" s="1"/>
      <c r="J965" s="1"/>
      <c r="K965" s="2"/>
      <c r="L965" s="2"/>
      <c r="M965" s="2"/>
      <c r="N965" s="3"/>
      <c r="O965" s="2"/>
      <c r="P965" s="1"/>
      <c r="Q965" s="1"/>
      <c r="R965" s="1"/>
      <c r="S965" s="1"/>
      <c r="T965" s="1"/>
      <c r="U965" s="1"/>
      <c r="V965" s="1"/>
      <c r="W965" s="1"/>
      <c r="X965" s="1"/>
      <c r="Y965" s="1"/>
      <c r="Z965" s="1"/>
    </row>
    <row r="966">
      <c r="A966" s="1"/>
      <c r="B966" s="1"/>
      <c r="C966" s="1"/>
      <c r="D966" s="1"/>
      <c r="E966" s="1"/>
      <c r="F966" s="1"/>
      <c r="G966" s="1"/>
      <c r="H966" s="1"/>
      <c r="I966" s="1"/>
      <c r="J966" s="1"/>
      <c r="K966" s="2"/>
      <c r="L966" s="2"/>
      <c r="M966" s="2"/>
      <c r="N966" s="3"/>
      <c r="O966" s="2"/>
      <c r="P966" s="1"/>
      <c r="Q966" s="1"/>
      <c r="R966" s="1"/>
      <c r="S966" s="1"/>
      <c r="T966" s="1"/>
      <c r="U966" s="1"/>
      <c r="V966" s="1"/>
      <c r="W966" s="1"/>
      <c r="X966" s="1"/>
      <c r="Y966" s="1"/>
      <c r="Z966" s="1"/>
    </row>
    <row r="967">
      <c r="A967" s="1"/>
      <c r="B967" s="1"/>
      <c r="C967" s="1"/>
      <c r="D967" s="1"/>
      <c r="E967" s="1"/>
      <c r="F967" s="1"/>
      <c r="G967" s="1"/>
      <c r="H967" s="1"/>
      <c r="I967" s="1"/>
      <c r="J967" s="1"/>
      <c r="K967" s="2"/>
      <c r="L967" s="2"/>
      <c r="M967" s="2"/>
      <c r="N967" s="3"/>
      <c r="O967" s="2"/>
      <c r="P967" s="1"/>
      <c r="Q967" s="1"/>
      <c r="R967" s="1"/>
      <c r="S967" s="1"/>
      <c r="T967" s="1"/>
      <c r="U967" s="1"/>
      <c r="V967" s="1"/>
      <c r="W967" s="1"/>
      <c r="X967" s="1"/>
      <c r="Y967" s="1"/>
      <c r="Z967" s="1"/>
    </row>
    <row r="968">
      <c r="A968" s="1"/>
      <c r="B968" s="1"/>
      <c r="C968" s="1"/>
      <c r="D968" s="1"/>
      <c r="E968" s="1"/>
      <c r="F968" s="1"/>
      <c r="G968" s="1"/>
      <c r="H968" s="1"/>
      <c r="I968" s="1"/>
      <c r="J968" s="1"/>
      <c r="K968" s="2"/>
      <c r="L968" s="2"/>
      <c r="M968" s="2"/>
      <c r="N968" s="3"/>
      <c r="O968" s="2"/>
      <c r="P968" s="1"/>
      <c r="Q968" s="1"/>
      <c r="R968" s="1"/>
      <c r="S968" s="1"/>
      <c r="T968" s="1"/>
      <c r="U968" s="1"/>
      <c r="V968" s="1"/>
      <c r="W968" s="1"/>
      <c r="X968" s="1"/>
      <c r="Y968" s="1"/>
      <c r="Z968" s="1"/>
    </row>
    <row r="969">
      <c r="A969" s="1"/>
      <c r="B969" s="1"/>
      <c r="C969" s="1"/>
      <c r="D969" s="1"/>
      <c r="E969" s="1"/>
      <c r="F969" s="1"/>
      <c r="G969" s="1"/>
      <c r="H969" s="1"/>
      <c r="I969" s="1"/>
      <c r="J969" s="1"/>
      <c r="K969" s="2"/>
      <c r="L969" s="2"/>
      <c r="M969" s="2"/>
      <c r="N969" s="3"/>
      <c r="O969" s="2"/>
      <c r="P969" s="1"/>
      <c r="Q969" s="1"/>
      <c r="R969" s="1"/>
      <c r="S969" s="1"/>
      <c r="T969" s="1"/>
      <c r="U969" s="1"/>
      <c r="V969" s="1"/>
      <c r="W969" s="1"/>
      <c r="X969" s="1"/>
      <c r="Y969" s="1"/>
      <c r="Z969" s="1"/>
    </row>
    <row r="970">
      <c r="A970" s="1"/>
      <c r="B970" s="1"/>
      <c r="C970" s="1"/>
      <c r="D970" s="1"/>
      <c r="E970" s="1"/>
      <c r="F970" s="1"/>
      <c r="G970" s="1"/>
      <c r="H970" s="1"/>
      <c r="I970" s="1"/>
      <c r="J970" s="1"/>
      <c r="K970" s="2"/>
      <c r="L970" s="2"/>
      <c r="M970" s="2"/>
      <c r="N970" s="3"/>
      <c r="O970" s="2"/>
      <c r="P970" s="1"/>
      <c r="Q970" s="1"/>
      <c r="R970" s="1"/>
      <c r="S970" s="1"/>
      <c r="T970" s="1"/>
      <c r="U970" s="1"/>
      <c r="V970" s="1"/>
      <c r="W970" s="1"/>
      <c r="X970" s="1"/>
      <c r="Y970" s="1"/>
      <c r="Z970" s="1"/>
    </row>
    <row r="971">
      <c r="A971" s="1"/>
      <c r="B971" s="1"/>
      <c r="C971" s="1"/>
      <c r="D971" s="1"/>
      <c r="E971" s="1"/>
      <c r="F971" s="1"/>
      <c r="G971" s="1"/>
      <c r="H971" s="1"/>
      <c r="I971" s="1"/>
      <c r="J971" s="1"/>
      <c r="K971" s="2"/>
      <c r="L971" s="2"/>
      <c r="M971" s="2"/>
      <c r="N971" s="3"/>
      <c r="O971" s="2"/>
      <c r="P971" s="1"/>
      <c r="Q971" s="1"/>
      <c r="R971" s="1"/>
      <c r="S971" s="1"/>
      <c r="T971" s="1"/>
      <c r="U971" s="1"/>
      <c r="V971" s="1"/>
      <c r="W971" s="1"/>
      <c r="X971" s="1"/>
      <c r="Y971" s="1"/>
      <c r="Z971" s="1"/>
    </row>
    <row r="972">
      <c r="A972" s="1"/>
      <c r="B972" s="1"/>
      <c r="C972" s="1"/>
      <c r="D972" s="1"/>
      <c r="E972" s="1"/>
      <c r="F972" s="1"/>
      <c r="G972" s="1"/>
      <c r="H972" s="1"/>
      <c r="I972" s="1"/>
      <c r="J972" s="1"/>
      <c r="K972" s="2"/>
      <c r="L972" s="2"/>
      <c r="M972" s="2"/>
      <c r="N972" s="3"/>
      <c r="O972" s="2"/>
      <c r="P972" s="1"/>
      <c r="Q972" s="1"/>
      <c r="R972" s="1"/>
      <c r="S972" s="1"/>
      <c r="T972" s="1"/>
      <c r="U972" s="1"/>
      <c r="V972" s="1"/>
      <c r="W972" s="1"/>
      <c r="X972" s="1"/>
      <c r="Y972" s="1"/>
      <c r="Z972" s="1"/>
    </row>
    <row r="973">
      <c r="A973" s="1"/>
      <c r="B973" s="1"/>
      <c r="C973" s="1"/>
      <c r="D973" s="1"/>
      <c r="E973" s="1"/>
      <c r="F973" s="1"/>
      <c r="G973" s="1"/>
      <c r="H973" s="1"/>
      <c r="I973" s="1"/>
      <c r="J973" s="1"/>
      <c r="K973" s="2"/>
      <c r="L973" s="2"/>
      <c r="M973" s="2"/>
      <c r="N973" s="3"/>
      <c r="O973" s="2"/>
      <c r="P973" s="1"/>
      <c r="Q973" s="1"/>
      <c r="R973" s="1"/>
      <c r="S973" s="1"/>
      <c r="T973" s="1"/>
      <c r="U973" s="1"/>
      <c r="V973" s="1"/>
      <c r="W973" s="1"/>
      <c r="X973" s="1"/>
      <c r="Y973" s="1"/>
      <c r="Z973" s="1"/>
    </row>
    <row r="974">
      <c r="A974" s="1"/>
      <c r="B974" s="1"/>
      <c r="C974" s="1"/>
      <c r="D974" s="1"/>
      <c r="E974" s="1"/>
      <c r="F974" s="1"/>
      <c r="G974" s="1"/>
      <c r="H974" s="1"/>
      <c r="I974" s="1"/>
      <c r="J974" s="1"/>
      <c r="K974" s="2"/>
      <c r="L974" s="2"/>
      <c r="M974" s="2"/>
      <c r="N974" s="3"/>
      <c r="O974" s="2"/>
      <c r="P974" s="1"/>
      <c r="Q974" s="1"/>
      <c r="R974" s="1"/>
      <c r="S974" s="1"/>
      <c r="T974" s="1"/>
      <c r="U974" s="1"/>
      <c r="V974" s="1"/>
      <c r="W974" s="1"/>
      <c r="X974" s="1"/>
      <c r="Y974" s="1"/>
      <c r="Z974" s="1"/>
    </row>
    <row r="975">
      <c r="A975" s="1"/>
      <c r="B975" s="1"/>
      <c r="C975" s="1"/>
      <c r="D975" s="1"/>
      <c r="E975" s="1"/>
      <c r="F975" s="1"/>
      <c r="G975" s="1"/>
      <c r="H975" s="1"/>
      <c r="I975" s="1"/>
      <c r="J975" s="1"/>
      <c r="K975" s="2"/>
      <c r="L975" s="2"/>
      <c r="M975" s="2"/>
      <c r="N975" s="3"/>
      <c r="O975" s="2"/>
      <c r="P975" s="1"/>
      <c r="Q975" s="1"/>
      <c r="R975" s="1"/>
      <c r="S975" s="1"/>
      <c r="T975" s="1"/>
      <c r="U975" s="1"/>
      <c r="V975" s="1"/>
      <c r="W975" s="1"/>
      <c r="X975" s="1"/>
      <c r="Y975" s="1"/>
      <c r="Z975" s="1"/>
    </row>
    <row r="976">
      <c r="A976" s="1"/>
      <c r="B976" s="1"/>
      <c r="C976" s="1"/>
      <c r="D976" s="1"/>
      <c r="E976" s="1"/>
      <c r="F976" s="1"/>
      <c r="G976" s="1"/>
      <c r="H976" s="1"/>
      <c r="I976" s="1"/>
      <c r="J976" s="1"/>
      <c r="K976" s="2"/>
      <c r="L976" s="2"/>
      <c r="M976" s="2"/>
      <c r="N976" s="3"/>
      <c r="O976" s="2"/>
      <c r="P976" s="1"/>
      <c r="Q976" s="1"/>
      <c r="R976" s="1"/>
      <c r="S976" s="1"/>
      <c r="T976" s="1"/>
      <c r="U976" s="1"/>
      <c r="V976" s="1"/>
      <c r="W976" s="1"/>
      <c r="X976" s="1"/>
      <c r="Y976" s="1"/>
      <c r="Z976" s="1"/>
    </row>
    <row r="977">
      <c r="A977" s="1"/>
      <c r="B977" s="1"/>
      <c r="C977" s="1"/>
      <c r="D977" s="1"/>
      <c r="E977" s="1"/>
      <c r="F977" s="1"/>
      <c r="G977" s="1"/>
      <c r="H977" s="1"/>
      <c r="I977" s="1"/>
      <c r="J977" s="1"/>
      <c r="K977" s="2"/>
      <c r="L977" s="2"/>
      <c r="M977" s="2"/>
      <c r="N977" s="3"/>
      <c r="O977" s="2"/>
      <c r="P977" s="1"/>
      <c r="Q977" s="1"/>
      <c r="R977" s="1"/>
      <c r="S977" s="1"/>
      <c r="T977" s="1"/>
      <c r="U977" s="1"/>
      <c r="V977" s="1"/>
      <c r="W977" s="1"/>
      <c r="X977" s="1"/>
      <c r="Y977" s="1"/>
      <c r="Z977" s="1"/>
    </row>
    <row r="978">
      <c r="A978" s="1"/>
      <c r="B978" s="1"/>
      <c r="C978" s="1"/>
      <c r="D978" s="1"/>
      <c r="E978" s="1"/>
      <c r="F978" s="1"/>
      <c r="G978" s="1"/>
      <c r="H978" s="1"/>
      <c r="I978" s="1"/>
      <c r="J978" s="1"/>
      <c r="K978" s="2"/>
      <c r="L978" s="2"/>
      <c r="M978" s="2"/>
      <c r="N978" s="3"/>
      <c r="O978" s="2"/>
      <c r="P978" s="1"/>
      <c r="Q978" s="1"/>
      <c r="R978" s="1"/>
      <c r="S978" s="1"/>
      <c r="T978" s="1"/>
      <c r="U978" s="1"/>
      <c r="V978" s="1"/>
      <c r="W978" s="1"/>
      <c r="X978" s="1"/>
      <c r="Y978" s="1"/>
      <c r="Z978" s="1"/>
    </row>
    <row r="979">
      <c r="A979" s="1"/>
      <c r="B979" s="1"/>
      <c r="C979" s="1"/>
      <c r="D979" s="1"/>
      <c r="E979" s="1"/>
      <c r="F979" s="1"/>
      <c r="G979" s="1"/>
      <c r="H979" s="1"/>
      <c r="I979" s="1"/>
      <c r="J979" s="1"/>
      <c r="K979" s="2"/>
      <c r="L979" s="2"/>
      <c r="M979" s="2"/>
      <c r="N979" s="3"/>
      <c r="O979" s="2"/>
      <c r="P979" s="1"/>
      <c r="Q979" s="1"/>
      <c r="R979" s="1"/>
      <c r="S979" s="1"/>
      <c r="T979" s="1"/>
      <c r="U979" s="1"/>
      <c r="V979" s="1"/>
      <c r="W979" s="1"/>
      <c r="X979" s="1"/>
      <c r="Y979" s="1"/>
      <c r="Z979" s="1"/>
    </row>
    <row r="980">
      <c r="A980" s="1"/>
      <c r="B980" s="1"/>
      <c r="C980" s="1"/>
      <c r="D980" s="1"/>
      <c r="E980" s="1"/>
      <c r="F980" s="1"/>
      <c r="G980" s="1"/>
      <c r="H980" s="1"/>
      <c r="I980" s="1"/>
      <c r="J980" s="1"/>
      <c r="K980" s="2"/>
      <c r="L980" s="2"/>
      <c r="M980" s="2"/>
      <c r="N980" s="3"/>
      <c r="O980" s="2"/>
      <c r="P980" s="1"/>
      <c r="Q980" s="1"/>
      <c r="R980" s="1"/>
      <c r="S980" s="1"/>
      <c r="T980" s="1"/>
      <c r="U980" s="1"/>
      <c r="V980" s="1"/>
      <c r="W980" s="1"/>
      <c r="X980" s="1"/>
      <c r="Y980" s="1"/>
      <c r="Z980" s="1"/>
    </row>
    <row r="981">
      <c r="A981" s="1"/>
      <c r="B981" s="1"/>
      <c r="C981" s="1"/>
      <c r="D981" s="1"/>
      <c r="E981" s="1"/>
      <c r="F981" s="1"/>
      <c r="G981" s="1"/>
      <c r="H981" s="1"/>
      <c r="I981" s="1"/>
      <c r="J981" s="1"/>
      <c r="K981" s="2"/>
      <c r="L981" s="2"/>
      <c r="M981" s="2"/>
      <c r="N981" s="3"/>
      <c r="O981" s="2"/>
      <c r="P981" s="1"/>
      <c r="Q981" s="1"/>
      <c r="R981" s="1"/>
      <c r="S981" s="1"/>
      <c r="T981" s="1"/>
      <c r="U981" s="1"/>
      <c r="V981" s="1"/>
      <c r="W981" s="1"/>
      <c r="X981" s="1"/>
      <c r="Y981" s="1"/>
      <c r="Z981" s="1"/>
    </row>
    <row r="982">
      <c r="A982" s="1"/>
      <c r="B982" s="1"/>
      <c r="C982" s="1"/>
      <c r="D982" s="1"/>
      <c r="E982" s="1"/>
      <c r="F982" s="1"/>
      <c r="G982" s="1"/>
      <c r="H982" s="1"/>
      <c r="I982" s="1"/>
      <c r="J982" s="1"/>
      <c r="K982" s="2"/>
      <c r="L982" s="2"/>
      <c r="M982" s="2"/>
      <c r="N982" s="3"/>
      <c r="O982" s="2"/>
      <c r="P982" s="1"/>
      <c r="Q982" s="1"/>
      <c r="R982" s="1"/>
      <c r="S982" s="1"/>
      <c r="T982" s="1"/>
      <c r="U982" s="1"/>
      <c r="V982" s="1"/>
      <c r="W982" s="1"/>
      <c r="X982" s="1"/>
      <c r="Y982" s="1"/>
      <c r="Z982" s="1"/>
    </row>
    <row r="983">
      <c r="A983" s="1"/>
      <c r="B983" s="1"/>
      <c r="C983" s="1"/>
      <c r="D983" s="1"/>
      <c r="E983" s="1"/>
      <c r="F983" s="1"/>
      <c r="G983" s="1"/>
      <c r="H983" s="1"/>
      <c r="I983" s="1"/>
      <c r="J983" s="1"/>
      <c r="K983" s="2"/>
      <c r="L983" s="2"/>
      <c r="M983" s="2"/>
      <c r="N983" s="3"/>
      <c r="O983" s="2"/>
      <c r="P983" s="1"/>
      <c r="Q983" s="1"/>
      <c r="R983" s="1"/>
      <c r="S983" s="1"/>
      <c r="T983" s="1"/>
      <c r="U983" s="1"/>
      <c r="V983" s="1"/>
      <c r="W983" s="1"/>
      <c r="X983" s="1"/>
      <c r="Y983" s="1"/>
      <c r="Z983" s="1"/>
    </row>
    <row r="984">
      <c r="A984" s="1"/>
      <c r="B984" s="1"/>
      <c r="C984" s="1"/>
      <c r="D984" s="1"/>
      <c r="E984" s="1"/>
      <c r="F984" s="1"/>
      <c r="G984" s="1"/>
      <c r="H984" s="1"/>
      <c r="I984" s="1"/>
      <c r="J984" s="1"/>
      <c r="K984" s="2"/>
      <c r="L984" s="2"/>
      <c r="M984" s="2"/>
      <c r="N984" s="3"/>
      <c r="O984" s="2"/>
      <c r="P984" s="1"/>
      <c r="Q984" s="1"/>
      <c r="R984" s="1"/>
      <c r="S984" s="1"/>
      <c r="T984" s="1"/>
      <c r="U984" s="1"/>
      <c r="V984" s="1"/>
      <c r="W984" s="1"/>
      <c r="X984" s="1"/>
      <c r="Y984" s="1"/>
      <c r="Z984" s="1"/>
    </row>
    <row r="985">
      <c r="A985" s="1"/>
      <c r="B985" s="1"/>
      <c r="C985" s="1"/>
      <c r="D985" s="1"/>
      <c r="E985" s="1"/>
      <c r="F985" s="1"/>
      <c r="G985" s="1"/>
      <c r="H985" s="1"/>
      <c r="I985" s="1"/>
      <c r="J985" s="1"/>
      <c r="K985" s="2"/>
      <c r="L985" s="2"/>
      <c r="M985" s="2"/>
      <c r="N985" s="3"/>
      <c r="O985" s="2"/>
      <c r="P985" s="1"/>
      <c r="Q985" s="1"/>
      <c r="R985" s="1"/>
      <c r="S985" s="1"/>
      <c r="T985" s="1"/>
      <c r="U985" s="1"/>
      <c r="V985" s="1"/>
      <c r="W985" s="1"/>
      <c r="X985" s="1"/>
      <c r="Y985" s="1"/>
      <c r="Z985" s="1"/>
    </row>
    <row r="986">
      <c r="A986" s="1"/>
      <c r="B986" s="1"/>
      <c r="C986" s="1"/>
      <c r="D986" s="1"/>
      <c r="E986" s="1"/>
      <c r="F986" s="1"/>
      <c r="G986" s="1"/>
      <c r="H986" s="1"/>
      <c r="I986" s="1"/>
      <c r="J986" s="1"/>
      <c r="K986" s="2"/>
      <c r="L986" s="2"/>
      <c r="M986" s="2"/>
      <c r="N986" s="3"/>
      <c r="O986" s="2"/>
      <c r="P986" s="1"/>
      <c r="Q986" s="1"/>
      <c r="R986" s="1"/>
      <c r="S986" s="1"/>
      <c r="T986" s="1"/>
      <c r="U986" s="1"/>
      <c r="V986" s="1"/>
      <c r="W986" s="1"/>
      <c r="X986" s="1"/>
      <c r="Y986" s="1"/>
      <c r="Z986" s="1"/>
    </row>
    <row r="987">
      <c r="A987" s="1"/>
      <c r="B987" s="1"/>
      <c r="C987" s="1"/>
      <c r="D987" s="1"/>
      <c r="E987" s="1"/>
      <c r="F987" s="1"/>
      <c r="G987" s="1"/>
      <c r="H987" s="1"/>
      <c r="I987" s="1"/>
      <c r="J987" s="1"/>
      <c r="K987" s="2"/>
      <c r="L987" s="2"/>
      <c r="M987" s="2"/>
      <c r="N987" s="3"/>
      <c r="O987" s="2"/>
      <c r="P987" s="1"/>
      <c r="Q987" s="1"/>
      <c r="R987" s="1"/>
      <c r="S987" s="1"/>
      <c r="T987" s="1"/>
      <c r="U987" s="1"/>
      <c r="V987" s="1"/>
      <c r="W987" s="1"/>
      <c r="X987" s="1"/>
      <c r="Y987" s="1"/>
      <c r="Z987" s="1"/>
    </row>
    <row r="988">
      <c r="A988" s="1"/>
      <c r="B988" s="1"/>
      <c r="C988" s="1"/>
      <c r="D988" s="1"/>
      <c r="E988" s="1"/>
      <c r="F988" s="1"/>
      <c r="G988" s="1"/>
      <c r="H988" s="1"/>
      <c r="I988" s="1"/>
      <c r="J988" s="1"/>
      <c r="K988" s="2"/>
      <c r="L988" s="2"/>
      <c r="M988" s="2"/>
      <c r="N988" s="3"/>
      <c r="O988" s="2"/>
      <c r="P988" s="1"/>
      <c r="Q988" s="1"/>
      <c r="R988" s="1"/>
      <c r="S988" s="1"/>
      <c r="T988" s="1"/>
      <c r="U988" s="1"/>
      <c r="V988" s="1"/>
      <c r="W988" s="1"/>
      <c r="X988" s="1"/>
      <c r="Y988" s="1"/>
      <c r="Z988" s="1"/>
    </row>
    <row r="989">
      <c r="A989" s="1"/>
      <c r="B989" s="1"/>
      <c r="C989" s="1"/>
      <c r="D989" s="1"/>
      <c r="E989" s="1"/>
      <c r="F989" s="1"/>
      <c r="G989" s="1"/>
      <c r="H989" s="1"/>
      <c r="I989" s="1"/>
      <c r="J989" s="1"/>
      <c r="K989" s="2"/>
      <c r="L989" s="2"/>
      <c r="M989" s="2"/>
      <c r="N989" s="3"/>
      <c r="O989" s="2"/>
      <c r="P989" s="1"/>
      <c r="Q989" s="1"/>
      <c r="R989" s="1"/>
      <c r="S989" s="1"/>
      <c r="T989" s="1"/>
      <c r="U989" s="1"/>
      <c r="V989" s="1"/>
      <c r="W989" s="1"/>
      <c r="X989" s="1"/>
      <c r="Y989" s="1"/>
      <c r="Z989" s="1"/>
    </row>
    <row r="990">
      <c r="A990" s="1"/>
      <c r="B990" s="1"/>
      <c r="C990" s="1"/>
      <c r="D990" s="1"/>
      <c r="E990" s="1"/>
      <c r="F990" s="1"/>
      <c r="G990" s="1"/>
      <c r="H990" s="1"/>
      <c r="I990" s="1"/>
      <c r="J990" s="1"/>
      <c r="K990" s="2"/>
      <c r="L990" s="2"/>
      <c r="M990" s="2"/>
      <c r="N990" s="3"/>
      <c r="O990" s="2"/>
      <c r="P990" s="1"/>
      <c r="Q990" s="1"/>
      <c r="R990" s="1"/>
      <c r="S990" s="1"/>
      <c r="T990" s="1"/>
      <c r="U990" s="1"/>
      <c r="V990" s="1"/>
      <c r="W990" s="1"/>
      <c r="X990" s="1"/>
      <c r="Y990" s="1"/>
      <c r="Z990" s="1"/>
    </row>
    <row r="991">
      <c r="A991" s="1"/>
      <c r="B991" s="1"/>
      <c r="C991" s="1"/>
      <c r="D991" s="1"/>
      <c r="E991" s="1"/>
      <c r="F991" s="1"/>
      <c r="G991" s="1"/>
      <c r="H991" s="1"/>
      <c r="I991" s="1"/>
      <c r="J991" s="1"/>
      <c r="K991" s="2"/>
      <c r="L991" s="2"/>
      <c r="M991" s="2"/>
      <c r="N991" s="3"/>
      <c r="O991" s="2"/>
      <c r="P991" s="1"/>
      <c r="Q991" s="1"/>
      <c r="R991" s="1"/>
      <c r="S991" s="1"/>
      <c r="T991" s="1"/>
      <c r="U991" s="1"/>
      <c r="V991" s="1"/>
      <c r="W991" s="1"/>
      <c r="X991" s="1"/>
      <c r="Y991" s="1"/>
      <c r="Z991" s="1"/>
    </row>
    <row r="992">
      <c r="A992" s="1"/>
      <c r="B992" s="1"/>
      <c r="C992" s="1"/>
      <c r="D992" s="1"/>
      <c r="E992" s="1"/>
      <c r="F992" s="1"/>
      <c r="G992" s="1"/>
      <c r="H992" s="1"/>
      <c r="I992" s="1"/>
      <c r="J992" s="1"/>
      <c r="K992" s="2"/>
      <c r="L992" s="2"/>
      <c r="M992" s="2"/>
      <c r="N992" s="3"/>
      <c r="O992" s="2"/>
      <c r="P992" s="1"/>
      <c r="Q992" s="1"/>
      <c r="R992" s="1"/>
      <c r="S992" s="1"/>
      <c r="T992" s="1"/>
      <c r="U992" s="1"/>
      <c r="V992" s="1"/>
      <c r="W992" s="1"/>
      <c r="X992" s="1"/>
      <c r="Y992" s="1"/>
      <c r="Z992" s="1"/>
    </row>
    <row r="993">
      <c r="A993" s="1"/>
      <c r="B993" s="1"/>
      <c r="C993" s="1"/>
      <c r="D993" s="1"/>
      <c r="E993" s="1"/>
      <c r="F993" s="1"/>
      <c r="G993" s="1"/>
      <c r="H993" s="1"/>
      <c r="I993" s="1"/>
      <c r="J993" s="1"/>
      <c r="K993" s="2"/>
      <c r="L993" s="2"/>
      <c r="M993" s="2"/>
      <c r="N993" s="3"/>
      <c r="O993" s="2"/>
      <c r="P993" s="1"/>
      <c r="Q993" s="1"/>
      <c r="R993" s="1"/>
      <c r="S993" s="1"/>
      <c r="T993" s="1"/>
      <c r="U993" s="1"/>
      <c r="V993" s="1"/>
      <c r="W993" s="1"/>
      <c r="X993" s="1"/>
      <c r="Y993" s="1"/>
      <c r="Z993" s="1"/>
    </row>
    <row r="994">
      <c r="A994" s="1"/>
      <c r="B994" s="1"/>
      <c r="C994" s="1"/>
      <c r="D994" s="1"/>
      <c r="E994" s="1"/>
      <c r="F994" s="1"/>
      <c r="G994" s="1"/>
      <c r="H994" s="1"/>
      <c r="I994" s="1"/>
      <c r="J994" s="1"/>
      <c r="K994" s="2"/>
      <c r="L994" s="2"/>
      <c r="M994" s="2"/>
      <c r="N994" s="3"/>
      <c r="O994" s="2"/>
      <c r="P994" s="1"/>
      <c r="Q994" s="1"/>
      <c r="R994" s="1"/>
      <c r="S994" s="1"/>
      <c r="T994" s="1"/>
      <c r="U994" s="1"/>
      <c r="V994" s="1"/>
      <c r="W994" s="1"/>
      <c r="X994" s="1"/>
      <c r="Y994" s="1"/>
      <c r="Z994" s="1"/>
    </row>
    <row r="995">
      <c r="A995" s="1"/>
      <c r="B995" s="1"/>
      <c r="C995" s="1"/>
      <c r="D995" s="1"/>
      <c r="E995" s="1"/>
      <c r="F995" s="1"/>
      <c r="G995" s="1"/>
      <c r="H995" s="1"/>
      <c r="I995" s="1"/>
      <c r="J995" s="1"/>
      <c r="K995" s="2"/>
      <c r="L995" s="2"/>
      <c r="M995" s="2"/>
      <c r="N995" s="3"/>
      <c r="O995" s="2"/>
      <c r="P995" s="1"/>
      <c r="Q995" s="1"/>
      <c r="R995" s="1"/>
      <c r="S995" s="1"/>
      <c r="T995" s="1"/>
      <c r="U995" s="1"/>
      <c r="V995" s="1"/>
      <c r="W995" s="1"/>
      <c r="X995" s="1"/>
      <c r="Y995" s="1"/>
      <c r="Z995" s="1"/>
    </row>
    <row r="996">
      <c r="A996" s="1"/>
      <c r="B996" s="1"/>
      <c r="C996" s="1"/>
      <c r="D996" s="1"/>
      <c r="E996" s="1"/>
      <c r="F996" s="1"/>
      <c r="G996" s="1"/>
      <c r="H996" s="1"/>
      <c r="I996" s="1"/>
      <c r="J996" s="1"/>
      <c r="K996" s="2"/>
      <c r="L996" s="2"/>
      <c r="M996" s="2"/>
      <c r="N996" s="3"/>
      <c r="O996" s="2"/>
      <c r="P996" s="1"/>
      <c r="Q996" s="1"/>
      <c r="R996" s="1"/>
      <c r="S996" s="1"/>
      <c r="T996" s="1"/>
      <c r="U996" s="1"/>
      <c r="V996" s="1"/>
      <c r="W996" s="1"/>
      <c r="X996" s="1"/>
      <c r="Y996" s="1"/>
      <c r="Z996" s="1"/>
    </row>
    <row r="997">
      <c r="A997" s="1"/>
      <c r="B997" s="1"/>
      <c r="C997" s="1"/>
      <c r="D997" s="1"/>
      <c r="E997" s="1"/>
      <c r="F997" s="1"/>
      <c r="G997" s="1"/>
      <c r="H997" s="1"/>
      <c r="I997" s="1"/>
      <c r="J997" s="1"/>
      <c r="K997" s="2"/>
      <c r="L997" s="2"/>
      <c r="M997" s="2"/>
      <c r="N997" s="3"/>
      <c r="O997" s="2"/>
      <c r="P997" s="1"/>
      <c r="Q997" s="1"/>
      <c r="R997" s="1"/>
      <c r="S997" s="1"/>
      <c r="T997" s="1"/>
      <c r="U997" s="1"/>
      <c r="V997" s="1"/>
      <c r="W997" s="1"/>
      <c r="X997" s="1"/>
      <c r="Y997" s="1"/>
      <c r="Z997" s="1"/>
    </row>
    <row r="998">
      <c r="A998" s="1"/>
      <c r="B998" s="1"/>
      <c r="C998" s="1"/>
      <c r="D998" s="1"/>
      <c r="E998" s="1"/>
      <c r="F998" s="1"/>
      <c r="G998" s="1"/>
      <c r="H998" s="1"/>
      <c r="I998" s="1"/>
      <c r="J998" s="1"/>
      <c r="K998" s="2"/>
      <c r="L998" s="2"/>
      <c r="M998" s="2"/>
      <c r="N998" s="3"/>
      <c r="O998" s="2"/>
      <c r="P998" s="1"/>
      <c r="Q998" s="1"/>
      <c r="R998" s="1"/>
      <c r="S998" s="1"/>
      <c r="T998" s="1"/>
      <c r="U998" s="1"/>
      <c r="V998" s="1"/>
      <c r="W998" s="1"/>
      <c r="X998" s="1"/>
      <c r="Y998" s="1"/>
      <c r="Z998" s="1"/>
    </row>
    <row r="999">
      <c r="A999" s="1"/>
      <c r="B999" s="1"/>
      <c r="C999" s="1"/>
      <c r="D999" s="1"/>
      <c r="E999" s="1"/>
      <c r="F999" s="1"/>
      <c r="G999" s="1"/>
      <c r="H999" s="1"/>
      <c r="I999" s="1"/>
      <c r="J999" s="1"/>
      <c r="K999" s="2"/>
      <c r="L999" s="2"/>
      <c r="M999" s="2"/>
      <c r="N999" s="3"/>
      <c r="O999" s="2"/>
      <c r="P999" s="1"/>
      <c r="Q999" s="1"/>
      <c r="R999" s="1"/>
      <c r="S999" s="1"/>
      <c r="T999" s="1"/>
      <c r="U999" s="1"/>
      <c r="V999" s="1"/>
      <c r="W999" s="1"/>
      <c r="X999" s="1"/>
      <c r="Y999" s="1"/>
      <c r="Z999" s="1"/>
    </row>
    <row r="1000">
      <c r="K1000" s="2"/>
      <c r="L1000" s="2"/>
      <c r="M1000" s="2"/>
      <c r="N1000" s="3"/>
      <c r="O1000" s="2"/>
    </row>
  </sheetData>
  <autoFilter ref="$A$6:$P$1000">
    <filterColumn colId="15">
      <filters blank="1">
        <filter val="??"/>
        <filter val="Fundraising"/>
        <filter val="Investing"/>
        <filter val="?"/>
        <filter val="???"/>
      </filters>
    </filterColumn>
  </autoFilter>
  <hyperlinks>
    <hyperlink r:id="rId4" ref="C7"/>
    <hyperlink r:id="rId5" ref="C8"/>
    <hyperlink r:id="rId6" ref="C10"/>
    <hyperlink r:id="rId7" ref="C11"/>
    <hyperlink r:id="rId8" ref="C12"/>
    <hyperlink r:id="rId9" ref="C13"/>
    <hyperlink r:id="rId10" ref="C14"/>
    <hyperlink r:id="rId11" ref="C15"/>
    <hyperlink r:id="rId12" ref="C16"/>
    <hyperlink r:id="rId13" ref="K17"/>
    <hyperlink r:id="rId14" ref="C18"/>
    <hyperlink r:id="rId15" ref="C19"/>
    <hyperlink r:id="rId16" ref="C20"/>
    <hyperlink r:id="rId17" ref="C21"/>
    <hyperlink r:id="rId18" ref="C22"/>
    <hyperlink r:id="rId19" ref="C23"/>
    <hyperlink r:id="rId20" ref="C24"/>
    <hyperlink r:id="rId21" ref="C25"/>
    <hyperlink r:id="rId22" ref="C26"/>
    <hyperlink r:id="rId23" ref="C28"/>
    <hyperlink r:id="rId24" ref="K29"/>
    <hyperlink r:id="rId25" ref="C30"/>
    <hyperlink r:id="rId26" ref="C31"/>
    <hyperlink r:id="rId27" ref="C32"/>
    <hyperlink r:id="rId28" ref="C33"/>
    <hyperlink r:id="rId29" ref="C34"/>
    <hyperlink r:id="rId30" ref="C35"/>
    <hyperlink r:id="rId31" ref="C36"/>
    <hyperlink r:id="rId32" ref="C37"/>
    <hyperlink r:id="rId33" ref="C38"/>
    <hyperlink r:id="rId34" ref="C39"/>
    <hyperlink r:id="rId35" ref="C40"/>
    <hyperlink r:id="rId36" ref="C41"/>
    <hyperlink r:id="rId37" ref="C42"/>
    <hyperlink r:id="rId38" ref="C43"/>
    <hyperlink r:id="rId39" ref="C44"/>
    <hyperlink r:id="rId40" ref="C45"/>
    <hyperlink r:id="rId41" ref="K46"/>
    <hyperlink r:id="rId42" ref="C47"/>
    <hyperlink r:id="rId43" ref="C48"/>
    <hyperlink r:id="rId44" ref="C49"/>
    <hyperlink r:id="rId45" ref="C50"/>
    <hyperlink r:id="rId46" ref="C51"/>
    <hyperlink r:id="rId47" ref="C52"/>
    <hyperlink r:id="rId48" ref="C53"/>
    <hyperlink r:id="rId49" ref="C54"/>
    <hyperlink r:id="rId50" ref="C55"/>
    <hyperlink r:id="rId51" ref="C56"/>
    <hyperlink r:id="rId52" ref="C58"/>
    <hyperlink r:id="rId53" ref="C59"/>
    <hyperlink r:id="rId54" ref="C61"/>
    <hyperlink r:id="rId55" ref="C62"/>
    <hyperlink r:id="rId56" ref="C64"/>
    <hyperlink r:id="rId57" ref="C65"/>
    <hyperlink r:id="rId58" ref="C66"/>
    <hyperlink r:id="rId59" ref="C67"/>
    <hyperlink r:id="rId60" ref="C68"/>
    <hyperlink r:id="rId61" ref="C69"/>
    <hyperlink r:id="rId62" ref="C70"/>
    <hyperlink r:id="rId63" ref="C71"/>
    <hyperlink r:id="rId64" ref="C72"/>
    <hyperlink r:id="rId65" ref="C73"/>
    <hyperlink r:id="rId66" ref="C74"/>
    <hyperlink r:id="rId67" ref="C75"/>
    <hyperlink r:id="rId68" ref="C76"/>
    <hyperlink r:id="rId69" ref="K77"/>
    <hyperlink r:id="rId70" ref="C78"/>
    <hyperlink r:id="rId71" ref="C79"/>
    <hyperlink r:id="rId72" ref="C80"/>
    <hyperlink r:id="rId73" ref="C81"/>
    <hyperlink r:id="rId74" ref="C82"/>
    <hyperlink r:id="rId75" ref="C83"/>
    <hyperlink r:id="rId76" ref="C84"/>
    <hyperlink r:id="rId77" ref="C85"/>
    <hyperlink r:id="rId78" ref="C86"/>
    <hyperlink r:id="rId79" ref="C87"/>
    <hyperlink r:id="rId80" ref="C88"/>
    <hyperlink r:id="rId81" ref="C90"/>
    <hyperlink r:id="rId82" ref="C91"/>
    <hyperlink r:id="rId83" ref="C92"/>
    <hyperlink r:id="rId84" ref="C93"/>
    <hyperlink r:id="rId85" ref="C94"/>
    <hyperlink r:id="rId86" ref="C95"/>
    <hyperlink r:id="rId87" ref="C96"/>
    <hyperlink r:id="rId88" ref="C98"/>
    <hyperlink r:id="rId89" ref="C99"/>
    <hyperlink r:id="rId90" ref="C100"/>
    <hyperlink r:id="rId91" ref="C101"/>
    <hyperlink r:id="rId92" ref="C102"/>
    <hyperlink r:id="rId93" ref="C103"/>
    <hyperlink r:id="rId94" ref="C104"/>
    <hyperlink r:id="rId95" ref="C105"/>
    <hyperlink r:id="rId96" ref="C106"/>
    <hyperlink r:id="rId97" ref="C107"/>
    <hyperlink r:id="rId98" ref="C108"/>
    <hyperlink r:id="rId99" ref="C109"/>
    <hyperlink r:id="rId100" ref="C110"/>
    <hyperlink r:id="rId101" ref="C111"/>
    <hyperlink r:id="rId102" ref="C112"/>
    <hyperlink r:id="rId103" ref="C113"/>
    <hyperlink r:id="rId104" ref="C114"/>
    <hyperlink r:id="rId105" ref="C115"/>
    <hyperlink r:id="rId106" ref="C116"/>
    <hyperlink r:id="rId107" ref="C117"/>
    <hyperlink r:id="rId108" ref="C118"/>
    <hyperlink r:id="rId109" ref="C119"/>
    <hyperlink r:id="rId110" ref="C120"/>
    <hyperlink r:id="rId111" ref="C121"/>
    <hyperlink r:id="rId112" ref="C122"/>
    <hyperlink r:id="rId113" ref="C123"/>
    <hyperlink r:id="rId114" ref="C124"/>
    <hyperlink r:id="rId115" ref="C125"/>
    <hyperlink r:id="rId116" ref="C126"/>
    <hyperlink r:id="rId117" ref="C127"/>
    <hyperlink r:id="rId118" ref="C128"/>
    <hyperlink r:id="rId119" ref="C129"/>
    <hyperlink r:id="rId120" ref="C130"/>
    <hyperlink r:id="rId121" ref="C131"/>
    <hyperlink r:id="rId122" ref="C132"/>
    <hyperlink r:id="rId123" ref="C133"/>
    <hyperlink r:id="rId124" ref="C134"/>
    <hyperlink r:id="rId125" ref="C135"/>
    <hyperlink r:id="rId126" ref="C136"/>
    <hyperlink r:id="rId127" ref="C137"/>
    <hyperlink r:id="rId128" ref="C138"/>
    <hyperlink r:id="rId129" ref="C139"/>
    <hyperlink r:id="rId130" ref="C140"/>
    <hyperlink r:id="rId131" ref="C141"/>
    <hyperlink r:id="rId132" ref="C142"/>
    <hyperlink r:id="rId133" ref="C143"/>
    <hyperlink r:id="rId134" ref="C144"/>
    <hyperlink r:id="rId135" ref="C145"/>
    <hyperlink r:id="rId136" ref="C146"/>
    <hyperlink r:id="rId137" ref="C147"/>
    <hyperlink r:id="rId138" ref="C148"/>
    <hyperlink r:id="rId139" ref="C149"/>
    <hyperlink r:id="rId140" ref="C150"/>
    <hyperlink r:id="rId141" ref="C151"/>
    <hyperlink r:id="rId142" ref="C152"/>
    <hyperlink r:id="rId143" ref="C153"/>
    <hyperlink r:id="rId144" ref="C154"/>
    <hyperlink r:id="rId145" ref="C155"/>
    <hyperlink r:id="rId146" ref="C156"/>
    <hyperlink r:id="rId147" ref="C157"/>
    <hyperlink r:id="rId148" ref="C158"/>
    <hyperlink r:id="rId149" ref="C159"/>
    <hyperlink r:id="rId150" ref="C160"/>
    <hyperlink r:id="rId151" ref="C161"/>
    <hyperlink r:id="rId152" ref="C162"/>
    <hyperlink r:id="rId153" ref="C163"/>
    <hyperlink r:id="rId154" ref="C164"/>
    <hyperlink r:id="rId155" ref="C165"/>
    <hyperlink r:id="rId156" ref="C166"/>
    <hyperlink r:id="rId157" ref="C167"/>
    <hyperlink r:id="rId158" ref="C168"/>
    <hyperlink r:id="rId159" ref="C170"/>
    <hyperlink r:id="rId160" ref="C171"/>
    <hyperlink r:id="rId161" ref="C172"/>
    <hyperlink r:id="rId162" ref="C173"/>
    <hyperlink r:id="rId163" ref="C174"/>
    <hyperlink r:id="rId164" ref="C175"/>
    <hyperlink r:id="rId165" ref="C176"/>
    <hyperlink r:id="rId166" ref="C177"/>
    <hyperlink r:id="rId167" ref="C178"/>
    <hyperlink r:id="rId168" ref="C179"/>
    <hyperlink r:id="rId169" ref="C180"/>
    <hyperlink r:id="rId170" ref="C181"/>
    <hyperlink r:id="rId171" ref="C182"/>
    <hyperlink r:id="rId172" ref="C183"/>
    <hyperlink r:id="rId173" ref="C184"/>
    <hyperlink r:id="rId174" ref="C185"/>
    <hyperlink r:id="rId175" ref="C186"/>
    <hyperlink r:id="rId176" ref="C187"/>
    <hyperlink r:id="rId177" ref="C188"/>
    <hyperlink r:id="rId178" ref="C189"/>
    <hyperlink r:id="rId179" ref="C190"/>
    <hyperlink r:id="rId180" ref="C191"/>
    <hyperlink r:id="rId181" ref="C192"/>
    <hyperlink r:id="rId182" ref="C193"/>
    <hyperlink r:id="rId183" ref="C194"/>
    <hyperlink r:id="rId184" ref="C195"/>
    <hyperlink r:id="rId185" ref="C197"/>
    <hyperlink r:id="rId186" ref="C198"/>
    <hyperlink r:id="rId187" ref="C199"/>
    <hyperlink r:id="rId188" ref="C200"/>
    <hyperlink r:id="rId189" ref="C201"/>
    <hyperlink r:id="rId190" ref="C202"/>
    <hyperlink r:id="rId191" ref="C203"/>
    <hyperlink r:id="rId192" ref="C204"/>
    <hyperlink r:id="rId193" ref="C205"/>
    <hyperlink r:id="rId194" ref="C206"/>
    <hyperlink r:id="rId195" ref="C207"/>
    <hyperlink r:id="rId196" ref="C208"/>
    <hyperlink r:id="rId197" ref="C209"/>
    <hyperlink r:id="rId198" ref="C210"/>
    <hyperlink r:id="rId199" ref="C211"/>
    <hyperlink r:id="rId200" ref="C212"/>
    <hyperlink r:id="rId201" ref="C213"/>
    <hyperlink r:id="rId202" ref="C214"/>
    <hyperlink r:id="rId203" ref="C215"/>
    <hyperlink r:id="rId204" ref="C216"/>
    <hyperlink r:id="rId205" ref="C217"/>
    <hyperlink r:id="rId206" ref="C218"/>
    <hyperlink r:id="rId207" ref="C219"/>
    <hyperlink r:id="rId208" ref="C220"/>
    <hyperlink r:id="rId209" ref="C221"/>
    <hyperlink r:id="rId210" ref="C222"/>
    <hyperlink r:id="rId211" ref="C223"/>
    <hyperlink r:id="rId212" ref="C224"/>
    <hyperlink r:id="rId213" ref="C225"/>
    <hyperlink r:id="rId214" ref="C226"/>
    <hyperlink r:id="rId215" ref="C227"/>
    <hyperlink r:id="rId216" ref="C228"/>
    <hyperlink r:id="rId217" ref="C229"/>
    <hyperlink r:id="rId218" ref="C230"/>
    <hyperlink r:id="rId219" ref="C231"/>
    <hyperlink r:id="rId220" ref="C232"/>
    <hyperlink r:id="rId221" ref="C233"/>
    <hyperlink r:id="rId222" ref="K234"/>
    <hyperlink r:id="rId223" ref="K235"/>
    <hyperlink r:id="rId224" ref="C236"/>
    <hyperlink r:id="rId225" ref="C237"/>
    <hyperlink r:id="rId226" ref="C238"/>
    <hyperlink r:id="rId227" ref="C239"/>
    <hyperlink r:id="rId228" ref="C240"/>
    <hyperlink r:id="rId229" ref="C241"/>
    <hyperlink r:id="rId230" ref="C242"/>
    <hyperlink r:id="rId231" ref="C243"/>
    <hyperlink r:id="rId232" ref="C244"/>
    <hyperlink r:id="rId233" ref="C245"/>
    <hyperlink r:id="rId234" ref="C247"/>
    <hyperlink r:id="rId235" ref="C248"/>
    <hyperlink r:id="rId236" ref="C249"/>
    <hyperlink r:id="rId237" ref="C250"/>
    <hyperlink r:id="rId238" ref="C251"/>
    <hyperlink r:id="rId239" ref="C252"/>
    <hyperlink r:id="rId240" ref="C253"/>
    <hyperlink r:id="rId241" ref="C254"/>
    <hyperlink r:id="rId242" ref="C255"/>
    <hyperlink r:id="rId243" ref="C256"/>
    <hyperlink r:id="rId244" ref="C257"/>
    <hyperlink r:id="rId245" ref="C258"/>
    <hyperlink r:id="rId246" ref="C259"/>
    <hyperlink r:id="rId247" ref="C260"/>
    <hyperlink r:id="rId248" ref="C261"/>
    <hyperlink r:id="rId249" ref="C262"/>
    <hyperlink r:id="rId250" ref="C263"/>
    <hyperlink r:id="rId251" ref="C264"/>
    <hyperlink r:id="rId252" ref="C265"/>
    <hyperlink r:id="rId253" ref="K266"/>
    <hyperlink r:id="rId254" ref="C267"/>
    <hyperlink r:id="rId255" ref="C268"/>
    <hyperlink r:id="rId256" ref="C269"/>
    <hyperlink r:id="rId257" ref="C270"/>
    <hyperlink r:id="rId258" ref="C271"/>
    <hyperlink r:id="rId259" ref="C272"/>
    <hyperlink r:id="rId260" ref="C273"/>
    <hyperlink r:id="rId261" ref="C274"/>
    <hyperlink r:id="rId262" ref="C275"/>
    <hyperlink r:id="rId263" ref="C276"/>
    <hyperlink r:id="rId264" ref="C277"/>
    <hyperlink r:id="rId265" ref="C278"/>
    <hyperlink r:id="rId266" ref="C279"/>
    <hyperlink r:id="rId267" ref="C280"/>
    <hyperlink r:id="rId268" ref="C281"/>
    <hyperlink r:id="rId269" ref="C282"/>
    <hyperlink r:id="rId270" ref="C283"/>
    <hyperlink r:id="rId271" ref="C284"/>
    <hyperlink r:id="rId272" ref="C285"/>
    <hyperlink r:id="rId273" ref="C286"/>
    <hyperlink r:id="rId274" ref="C287"/>
    <hyperlink r:id="rId275" ref="K288"/>
    <hyperlink r:id="rId276" ref="C289"/>
    <hyperlink r:id="rId277" ref="C290"/>
    <hyperlink r:id="rId278" ref="C291"/>
    <hyperlink r:id="rId279" ref="C292"/>
    <hyperlink r:id="rId280" ref="C293"/>
    <hyperlink r:id="rId281" ref="K295"/>
    <hyperlink r:id="rId282" ref="C296"/>
    <hyperlink r:id="rId283" ref="C297"/>
    <hyperlink r:id="rId284" ref="C298"/>
    <hyperlink r:id="rId285" ref="K299"/>
    <hyperlink r:id="rId286" ref="C301"/>
    <hyperlink r:id="rId287" ref="C302"/>
    <hyperlink r:id="rId288" ref="C303"/>
    <hyperlink r:id="rId289" ref="C304"/>
    <hyperlink r:id="rId290" ref="C305"/>
    <hyperlink r:id="rId291" ref="C306"/>
    <hyperlink r:id="rId292" ref="C307"/>
    <hyperlink r:id="rId293" ref="C308"/>
    <hyperlink r:id="rId294" ref="C309"/>
    <hyperlink r:id="rId295" ref="K310"/>
    <hyperlink r:id="rId296" ref="C311"/>
    <hyperlink r:id="rId297" ref="C312"/>
    <hyperlink r:id="rId298" ref="C313"/>
    <hyperlink r:id="rId299" ref="C314"/>
    <hyperlink r:id="rId300" ref="C315"/>
    <hyperlink r:id="rId301" ref="C316"/>
    <hyperlink r:id="rId302" ref="C317"/>
    <hyperlink r:id="rId303" ref="C318"/>
    <hyperlink r:id="rId304" ref="C319"/>
    <hyperlink r:id="rId305" ref="C320"/>
    <hyperlink r:id="rId306" ref="C321"/>
    <hyperlink r:id="rId307" ref="C322"/>
    <hyperlink r:id="rId308" ref="C323"/>
    <hyperlink r:id="rId309" ref="C324"/>
    <hyperlink r:id="rId310" ref="C325"/>
    <hyperlink r:id="rId311" ref="C326"/>
    <hyperlink r:id="rId312" ref="C327"/>
    <hyperlink r:id="rId313" ref="C328"/>
    <hyperlink r:id="rId314" ref="C329"/>
    <hyperlink r:id="rId315" ref="C330"/>
    <hyperlink r:id="rId316" ref="C331"/>
    <hyperlink r:id="rId317" ref="K332"/>
    <hyperlink r:id="rId318" ref="C333"/>
    <hyperlink r:id="rId319" ref="C334"/>
    <hyperlink r:id="rId320" ref="C335"/>
    <hyperlink r:id="rId321" ref="C336"/>
    <hyperlink r:id="rId322" ref="C337"/>
    <hyperlink r:id="rId323" ref="C338"/>
    <hyperlink r:id="rId324" ref="C339"/>
    <hyperlink r:id="rId325" ref="C340"/>
    <hyperlink r:id="rId326" ref="C341"/>
    <hyperlink r:id="rId327" ref="C342"/>
    <hyperlink r:id="rId328" ref="C343"/>
    <hyperlink r:id="rId329" ref="C344"/>
    <hyperlink r:id="rId330" ref="C345"/>
    <hyperlink r:id="rId331" ref="C346"/>
    <hyperlink r:id="rId332" ref="C347"/>
    <hyperlink r:id="rId333" ref="C348"/>
    <hyperlink r:id="rId334" ref="C349"/>
    <hyperlink r:id="rId335" ref="C350"/>
    <hyperlink r:id="rId336" ref="C352"/>
    <hyperlink r:id="rId337" ref="C353"/>
    <hyperlink r:id="rId338" ref="C354"/>
    <hyperlink r:id="rId339" ref="C355"/>
    <hyperlink r:id="rId340" ref="C356"/>
    <hyperlink r:id="rId341" ref="C357"/>
    <hyperlink r:id="rId342" ref="C358"/>
    <hyperlink r:id="rId343" ref="C359"/>
    <hyperlink r:id="rId344" ref="C360"/>
    <hyperlink r:id="rId345" ref="C361"/>
    <hyperlink r:id="rId346" ref="C362"/>
    <hyperlink r:id="rId347" ref="C363"/>
    <hyperlink r:id="rId348" ref="C364"/>
    <hyperlink r:id="rId349" ref="C365"/>
    <hyperlink r:id="rId350" ref="C366"/>
    <hyperlink r:id="rId351" ref="C367"/>
    <hyperlink r:id="rId352" ref="C368"/>
    <hyperlink r:id="rId353" ref="C369"/>
    <hyperlink r:id="rId354" ref="C370"/>
    <hyperlink r:id="rId355" ref="C371"/>
    <hyperlink r:id="rId356" ref="C372"/>
    <hyperlink r:id="rId357" ref="C373"/>
    <hyperlink r:id="rId358" ref="C374"/>
    <hyperlink r:id="rId359" ref="C375"/>
    <hyperlink r:id="rId360" ref="C376"/>
    <hyperlink r:id="rId361" ref="C377"/>
    <hyperlink r:id="rId362" ref="C378"/>
    <hyperlink r:id="rId363" ref="C379"/>
    <hyperlink r:id="rId364" ref="C380"/>
    <hyperlink r:id="rId365" ref="C381"/>
    <hyperlink r:id="rId366" ref="C382"/>
    <hyperlink r:id="rId367" ref="C383"/>
  </hyperlinks>
  <drawing r:id="rId368"/>
  <legacyDrawing r:id="rId369"/>
</worksheet>
</file>